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defaultThemeVersion="166925"/>
  <xr:revisionPtr revIDLastSave="0" documentId="13_ncr:1_{DACC5BBD-10D6-4CB0-8083-A9A239F9B45D}" xr6:coauthVersionLast="45" xr6:coauthVersionMax="45" xr10:uidLastSave="{00000000-0000-0000-0000-000000000000}"/>
  <bookViews>
    <workbookView xWindow="-120" yWindow="-120" windowWidth="20730" windowHeight="11160" tabRatio="642" firstSheet="1" activeTab="1" xr2:uid="{5FF626EB-ECFA-451E-A36C-91235F29A82C}"/>
  </bookViews>
  <sheets>
    <sheet name="Donor Data" sheetId="1" r:id="rId1"/>
    <sheet name="Doughnut Chart" sheetId="2" r:id="rId2"/>
    <sheet name="Map Chart" sheetId="4" r:id="rId3"/>
    <sheet name="UK Map Chart Example" sheetId="3" r:id="rId4"/>
    <sheet name="Icons" sheetId="5" r:id="rId5"/>
    <sheet name="Add-Ins" sheetId="6" r:id="rId6"/>
  </sheets>
  <definedNames>
    <definedName name="_xlchart.v5.0" hidden="1">'Map Chart'!$A$2</definedName>
    <definedName name="_xlchart.v5.1" hidden="1">'Map Chart'!$A$3:$A$20</definedName>
    <definedName name="_xlchart.v5.10" hidden="1">'UK Map Chart Example'!$A$2:$B$2</definedName>
    <definedName name="_xlchart.v5.11" hidden="1">'UK Map Chart Example'!$A$3:$B$13</definedName>
    <definedName name="_xlchart.v5.12" hidden="1">'UK Map Chart Example'!$C$2</definedName>
    <definedName name="_xlchart.v5.13" hidden="1">'UK Map Chart Example'!$C$3:$C$13</definedName>
    <definedName name="_xlchart.v5.2" hidden="1">'Map Chart'!$B$1</definedName>
    <definedName name="_xlchart.v5.3" hidden="1">'Map Chart'!$B$2</definedName>
    <definedName name="_xlchart.v5.4" hidden="1">'Map Chart'!$B$3:$B$20</definedName>
    <definedName name="_xlchart.v5.5" hidden="1">'Map Chart'!$A$2</definedName>
    <definedName name="_xlchart.v5.6" hidden="1">'Map Chart'!$A$3:$A$20</definedName>
    <definedName name="_xlchart.v5.7" hidden="1">'Map Chart'!$B$1</definedName>
    <definedName name="_xlchart.v5.8" hidden="1">'Map Chart'!$B$2</definedName>
    <definedName name="_xlchart.v5.9" hidden="1">'Map Chart'!$B$3:$B$20</definedName>
  </definedName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3" l="1"/>
</calcChain>
</file>

<file path=xl/sharedStrings.xml><?xml version="1.0" encoding="utf-8"?>
<sst xmlns="http://schemas.openxmlformats.org/spreadsheetml/2006/main" count="582" uniqueCount="179">
  <si>
    <t>NAME</t>
  </si>
  <si>
    <t>NEW_DONOR?</t>
  </si>
  <si>
    <t>CITY</t>
  </si>
  <si>
    <t>STATE_US</t>
  </si>
  <si>
    <t>AMOUNT</t>
  </si>
  <si>
    <t>VOLUNTEER</t>
  </si>
  <si>
    <t>Donor_37</t>
  </si>
  <si>
    <t>Yes</t>
  </si>
  <si>
    <t>Los Angelas</t>
  </si>
  <si>
    <t>CA</t>
  </si>
  <si>
    <t>Bennett, Lucy</t>
  </si>
  <si>
    <t>Donor_38</t>
  </si>
  <si>
    <t>No</t>
  </si>
  <si>
    <t>Diaz, Isabella</t>
  </si>
  <si>
    <t>Donor_39</t>
  </si>
  <si>
    <t>Flores, Iris</t>
  </si>
  <si>
    <t>Donor_70</t>
  </si>
  <si>
    <t>San Francisco</t>
  </si>
  <si>
    <t>Foster, Hazel</t>
  </si>
  <si>
    <t>Donor_71</t>
  </si>
  <si>
    <t>Henderson, Elsie</t>
  </si>
  <si>
    <t>Donor_72</t>
  </si>
  <si>
    <t>Hughes, Elizabeth</t>
  </si>
  <si>
    <t>Donor_73</t>
  </si>
  <si>
    <t>Powell, Violet</t>
  </si>
  <si>
    <t>Donor_74</t>
  </si>
  <si>
    <t>Price, Ava</t>
  </si>
  <si>
    <t>Donor_75</t>
  </si>
  <si>
    <t>Simmons, Amelia</t>
  </si>
  <si>
    <t>Donor_76</t>
  </si>
  <si>
    <t>Wood, Adeline</t>
  </si>
  <si>
    <t>Donor_77</t>
  </si>
  <si>
    <t>Donor_78</t>
  </si>
  <si>
    <t>Donor_79</t>
  </si>
  <si>
    <t>Donor_80</t>
  </si>
  <si>
    <t>Donor_81</t>
  </si>
  <si>
    <t>Donor_82</t>
  </si>
  <si>
    <t>Donor_83</t>
  </si>
  <si>
    <t>Donor_84</t>
  </si>
  <si>
    <t>Donor_85</t>
  </si>
  <si>
    <t>Donor_86</t>
  </si>
  <si>
    <t>Donor_30</t>
  </si>
  <si>
    <t>Denver</t>
  </si>
  <si>
    <t>CO</t>
  </si>
  <si>
    <t>Donor_31</t>
  </si>
  <si>
    <t>Donor_32</t>
  </si>
  <si>
    <t>Donor_44</t>
  </si>
  <si>
    <t>Miami</t>
  </si>
  <si>
    <t>FL</t>
  </si>
  <si>
    <t>Donor_45</t>
  </si>
  <si>
    <t>Donor_46</t>
  </si>
  <si>
    <t>Donor_47</t>
  </si>
  <si>
    <t>Donor_48</t>
  </si>
  <si>
    <t>Donor_88</t>
  </si>
  <si>
    <t>Tampa</t>
  </si>
  <si>
    <t>Donor_89</t>
  </si>
  <si>
    <t>Donor_90</t>
  </si>
  <si>
    <t>Donor_91</t>
  </si>
  <si>
    <t>Donor_92</t>
  </si>
  <si>
    <t>Donor_93</t>
  </si>
  <si>
    <t>Donor_94</t>
  </si>
  <si>
    <t>Donor_95</t>
  </si>
  <si>
    <t>Donor_96</t>
  </si>
  <si>
    <t>Donor_97</t>
  </si>
  <si>
    <t>Donor_98</t>
  </si>
  <si>
    <t>Donor_99</t>
  </si>
  <si>
    <t>Donor_100</t>
  </si>
  <si>
    <t>Donor_101</t>
  </si>
  <si>
    <t>Donor_22</t>
  </si>
  <si>
    <t>Chicago</t>
  </si>
  <si>
    <t>IL</t>
  </si>
  <si>
    <t>Donor_23</t>
  </si>
  <si>
    <t>Donor_24</t>
  </si>
  <si>
    <t>Donor_25</t>
  </si>
  <si>
    <t>Donor_26</t>
  </si>
  <si>
    <t>Donor_27</t>
  </si>
  <si>
    <t>Donor_28</t>
  </si>
  <si>
    <t>Donor_29</t>
  </si>
  <si>
    <t>Donor_01</t>
  </si>
  <si>
    <t>Boston</t>
  </si>
  <si>
    <t>MA</t>
  </si>
  <si>
    <t>Donor_02</t>
  </si>
  <si>
    <t>Donor_03</t>
  </si>
  <si>
    <t>Donor_04</t>
  </si>
  <si>
    <t>Donor_05</t>
  </si>
  <si>
    <t>Donor_06</t>
  </si>
  <si>
    <t>Donor_07</t>
  </si>
  <si>
    <t>Donor_08</t>
  </si>
  <si>
    <t>Donor_09</t>
  </si>
  <si>
    <t>Donor_10</t>
  </si>
  <si>
    <t>Donor_11</t>
  </si>
  <si>
    <t>Donor_12</t>
  </si>
  <si>
    <t>Donor_13</t>
  </si>
  <si>
    <t>Donor_14</t>
  </si>
  <si>
    <t>Donor_15</t>
  </si>
  <si>
    <t>Donor_16</t>
  </si>
  <si>
    <t>Donor_17</t>
  </si>
  <si>
    <t>Donor_18</t>
  </si>
  <si>
    <t>Donor_19</t>
  </si>
  <si>
    <t>Donor_20</t>
  </si>
  <si>
    <t>Donor_21</t>
  </si>
  <si>
    <t>Donor_33</t>
  </si>
  <si>
    <t>Las Vegas</t>
  </si>
  <si>
    <t>NV</t>
  </si>
  <si>
    <t>Donor_34</t>
  </si>
  <si>
    <t>Donor_35</t>
  </si>
  <si>
    <t>Donor_36</t>
  </si>
  <si>
    <t>Donor_55</t>
  </si>
  <si>
    <t>New York</t>
  </si>
  <si>
    <t>NY</t>
  </si>
  <si>
    <t>Donor_56</t>
  </si>
  <si>
    <t>Donor_57</t>
  </si>
  <si>
    <t>Donor_58</t>
  </si>
  <si>
    <t>Donor_59</t>
  </si>
  <si>
    <t>Donor_60</t>
  </si>
  <si>
    <t>Donor_61</t>
  </si>
  <si>
    <t>Portland</t>
  </si>
  <si>
    <t>OR</t>
  </si>
  <si>
    <t>Donor_62</t>
  </si>
  <si>
    <t>Donor_63</t>
  </si>
  <si>
    <t>Donor_64</t>
  </si>
  <si>
    <t>Donor_65</t>
  </si>
  <si>
    <t>Donor_66</t>
  </si>
  <si>
    <t>Donor_40</t>
  </si>
  <si>
    <t>Memphis</t>
  </si>
  <si>
    <t>TN</t>
  </si>
  <si>
    <t>Donor_41</t>
  </si>
  <si>
    <t>Donor_42</t>
  </si>
  <si>
    <t>Donor_43</t>
  </si>
  <si>
    <t>Donor_67</t>
  </si>
  <si>
    <t>Salt Lake City</t>
  </si>
  <si>
    <t>UT</t>
  </si>
  <si>
    <t>Donor_68</t>
  </si>
  <si>
    <t>Donor_69</t>
  </si>
  <si>
    <t>Donor_87</t>
  </si>
  <si>
    <t>Seattle</t>
  </si>
  <si>
    <t>WA</t>
  </si>
  <si>
    <t>Donor_103</t>
  </si>
  <si>
    <t>Donor_49</t>
  </si>
  <si>
    <t>Milwaukee</t>
  </si>
  <si>
    <t>WI</t>
  </si>
  <si>
    <t>Donor_50</t>
  </si>
  <si>
    <t>Donor_51</t>
  </si>
  <si>
    <t>Donor_52</t>
  </si>
  <si>
    <t>Donor_53</t>
  </si>
  <si>
    <t>Donor_54</t>
  </si>
  <si>
    <t>Total</t>
  </si>
  <si>
    <t>YES or NO</t>
  </si>
  <si>
    <t>% of REPEAT</t>
  </si>
  <si>
    <r>
      <rPr>
        <b/>
        <i/>
        <u/>
        <sz val="14"/>
        <color rgb="FFC00000"/>
        <rFont val="Calibri"/>
        <family val="2"/>
        <scheme val="minor"/>
      </rPr>
      <t>Note:</t>
    </r>
    <r>
      <rPr>
        <b/>
        <i/>
        <sz val="11"/>
        <color rgb="FFC00000"/>
        <rFont val="Calibri"/>
        <family val="2"/>
        <scheme val="minor"/>
      </rPr>
      <t xml:space="preserve"> the </t>
    </r>
    <r>
      <rPr>
        <b/>
        <i/>
        <u/>
        <sz val="11"/>
        <color rgb="FFC00000"/>
        <rFont val="Calibri"/>
        <family val="2"/>
        <scheme val="minor"/>
      </rPr>
      <t>% of REPEAT</t>
    </r>
    <r>
      <rPr>
        <b/>
        <i/>
        <sz val="11"/>
        <color rgb="FFC00000"/>
        <rFont val="Calibri"/>
        <family val="2"/>
        <scheme val="minor"/>
      </rPr>
      <t xml:space="preserve"> data is sorted in descending order </t>
    </r>
  </si>
  <si>
    <t>PROVINCE</t>
  </si>
  <si>
    <t>COUNTY</t>
  </si>
  <si>
    <t>SALES</t>
  </si>
  <si>
    <t>England</t>
  </si>
  <si>
    <t>Suffolk</t>
  </si>
  <si>
    <t>Oxfordshire</t>
  </si>
  <si>
    <t>Greater London</t>
  </si>
  <si>
    <t>Norfolk</t>
  </si>
  <si>
    <t>North Yorkshire</t>
  </si>
  <si>
    <t>Shropshire</t>
  </si>
  <si>
    <t>Devon</t>
  </si>
  <si>
    <t>Lincolnshire</t>
  </si>
  <si>
    <t>Cornwall</t>
  </si>
  <si>
    <t>Northumberland</t>
  </si>
  <si>
    <t>Dorset</t>
  </si>
  <si>
    <t>TOTAL</t>
  </si>
  <si>
    <t>STATE</t>
  </si>
  <si>
    <t>AZ</t>
  </si>
  <si>
    <t>IN</t>
  </si>
  <si>
    <t>MI</t>
  </si>
  <si>
    <t>MN</t>
  </si>
  <si>
    <t>MO</t>
  </si>
  <si>
    <t>PA</t>
  </si>
  <si>
    <t>TX</t>
  </si>
  <si>
    <t>MT</t>
  </si>
  <si>
    <t>WY</t>
  </si>
  <si>
    <r>
      <rPr>
        <b/>
        <i/>
        <u/>
        <sz val="14"/>
        <color rgb="FFC00000"/>
        <rFont val="Calibri"/>
        <family val="2"/>
        <scheme val="minor"/>
      </rPr>
      <t>Note:</t>
    </r>
    <r>
      <rPr>
        <b/>
        <i/>
        <sz val="11"/>
        <color rgb="FFC00000"/>
        <rFont val="Calibri"/>
        <family val="2"/>
        <scheme val="minor"/>
      </rPr>
      <t xml:space="preserve"> </t>
    </r>
    <r>
      <rPr>
        <i/>
        <sz val="11"/>
        <color rgb="FFC00000"/>
        <rFont val="Calibri"/>
        <family val="2"/>
        <scheme val="minor"/>
      </rPr>
      <t xml:space="preserve">the Map Chart type </t>
    </r>
    <r>
      <rPr>
        <b/>
        <i/>
        <u/>
        <sz val="11"/>
        <color rgb="FFC00000"/>
        <rFont val="Calibri"/>
        <family val="2"/>
        <scheme val="minor"/>
      </rPr>
      <t>does not</t>
    </r>
    <r>
      <rPr>
        <i/>
        <sz val="11"/>
        <color rgb="FFC00000"/>
        <rFont val="Calibri"/>
        <family val="2"/>
        <scheme val="minor"/>
      </rPr>
      <t xml:space="preserve"> work with Pivot Table data</t>
    </r>
  </si>
  <si>
    <t>SALES %</t>
  </si>
  <si>
    <t>AMT_RAISED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</si>
</sst>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6" formatCode="0.0%"/>
    <numFmt numFmtId="170" formatCode="[$£-809]#,##0;[Red]\-[$£-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  <font>
      <b/>
      <i/>
      <u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orbel Light"/>
      <family val="2"/>
    </font>
    <font>
      <sz val="11"/>
      <color theme="1"/>
      <name val="Corbel"/>
      <family val="2"/>
    </font>
    <font>
      <i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theme="9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0" fontId="0" fillId="3" borderId="0" xfId="0" applyFill="1"/>
    <xf numFmtId="9" fontId="0" fillId="0" borderId="0" xfId="0" applyNumberForma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4" borderId="1" xfId="0" applyFont="1" applyFill="1" applyBorder="1" applyAlignment="1">
      <alignment horizontal="center"/>
    </xf>
    <xf numFmtId="0" fontId="8" fillId="0" borderId="1" xfId="0" applyFont="1" applyBorder="1"/>
    <xf numFmtId="166" fontId="8" fillId="0" borderId="1" xfId="2" applyNumberFormat="1" applyFont="1" applyBorder="1"/>
    <xf numFmtId="0" fontId="3" fillId="5" borderId="0" xfId="0" applyFont="1" applyFill="1" applyAlignment="1">
      <alignment horizontal="left"/>
    </xf>
    <xf numFmtId="0" fontId="0" fillId="5" borderId="0" xfId="0" applyFill="1"/>
    <xf numFmtId="166" fontId="0" fillId="0" borderId="0" xfId="0" applyNumberFormat="1"/>
    <xf numFmtId="0" fontId="0" fillId="0" borderId="0" xfId="0" pivotButton="1" applyAlignment="1">
      <alignment horizontal="center"/>
    </xf>
    <xf numFmtId="6" fontId="0" fillId="0" borderId="0" xfId="0" applyNumberFormat="1"/>
    <xf numFmtId="170" fontId="0" fillId="0" borderId="1" xfId="0" applyNumberFormat="1" applyBorder="1"/>
    <xf numFmtId="170" fontId="6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6">
    <dxf>
      <numFmt numFmtId="10" formatCode="&quot;$&quot;#,##0_);[Red]\(&quot;$&quot;#,##0\)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regionMap" uniqueId="{53F6256D-46A1-4C2F-B174-B10A3CEF8261}">
          <cx:tx>
            <cx:txData>
              <cx:f>_xlchart.v5.12</cx:f>
              <cx:v>SALES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8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regionLabelLayout val="none"/>
            <cx:geography projectionType="albers" cultureLanguage="en-US" cultureRegion="US" attribution="Powered by Bing">
              <cx:geoCache provider="{E9337A44-BEBE-4D9F-B70C-5C5E7DAFC167}">
                <cx:binary>3Hpbc9y20u1fcfn5o0JcCeza+R5Azn10lyzbLyxZlnkDbwBIkPz1p0eOc2wn8c6u8nk4ccWKR5wB
Meju1Wut5r+fpn896edH82qqdWP/9TT9+jp3rvvXL7/Yp/y5frRndfFkWtt+cmdPbf1L++lT8fT8
y0fz6Ism+wWHiP7ylD8a9zy9/t9/w2rZc3tsnx5d0TbXw7OZb57toJ39wbU/vfTq8WNdNElhnSme
HPr19arJ9GPz8fW3F/Cvr2+HT59aXb1+9dy4ws13c/f86+tvPo1fv/rl+5v8YUOvNOzZDR/hwwyd
ScEowkxGnHHMXr/SbZP9djU8k4wgFoVhxCXFlBLx5d4XjzV8/LcN/c+r+6Zwzx9fHeCgPrb1lzf9
6QZftvf48aN5tha+4cv/f7DSN1/v75zNUzs07hSMDOLy6+vvd1bYNv78jrg9ncBGvRzZL9/G83//
/d0v4BC/+81XIf/+xP/TpW8D+8OI56btbF6Y5x+e6X8ZdHwmOSYUkVAwSaJvgx7gMyIkl0wIHMkI
Q3J8ufdvQf99Tz8j7j9Y7G+H/vc1Xr/6R0X/cvrUmo8/PfzoDMo5hMLGlDOBQ/JN0QfojKAQRyJk
8B8OOVz+jDefw//Vpn5C/H+42t9NgK8W+YdlwEVrXP7qXWuqn54F9AxJxiMRofCPGAA58AL9IUMh
vEVy+m0SfLevn5AI/3HFv5sM3y30D0uIjXl+dM/m1bFtPrbNl6D8aaP9L5sCOmNhSAWlnDOGIwIR
/4oKBOEZ5AlFMgTgwPCT0e9w4fOOfkIm/NVCfzcBvhzNP6oVQFb/bOqHz3iEMeOUQ5cH8vdtG/jM
/SQNMUaR4FTKL8n2uQ38tqGfEO+/XOnvBvz3s/lHRfxYNE8tCJWfTf7IGRIMcYmRlFEYfd/9wzMc
RVD9IUIUIc65iL4N/Nf7+gnR//FyfzcFvl7lH4b4yfP4c4E+PIsY5oIxCrH9jvuTM4FQyHEoI0Yl
6D24/jX5e9nMT4j6X6zzd8P925n8o+o9bk3jH7X+cuA/o6eHZ/QUTIox4QQL9C3EB/RMYOD6RIb0
Rech9OXmnzH+y5Z+QsD/eqm/G/MvK/zDyhual8uH+sOz+ez5/Dxrh51hiCwGlY8wyHkCwf2a0OGz
EECAsFBIKk9K/48N/quN/YQU+Pab/nHBv5sI367zD0uHpDX22X0pw5+DARJB6TNQeRIIPP0uDdAZ
UH4chiG8g4Pgp9+5PZ839Mdo/SBP/9zh+6uF/m7Yv5zM/w+g/x/2+M1X/tr++8tD/W9tXXzGpBBg
80DZf2fqgr8DEk8IwH0eMQG94bvC/91+/uvd/HmEf//gN9/vK8/2PxzL/xtr9q9t29+N8eTRPa5e
LPWvnNsfX/1i+X730b925r+U9O7jr69P9lr4VUhPi3xDs34/yc8h+Oozz4/WwQLg4CEhpCSUEUBu
CiH0z6crAT+jCCpaChBtEnMM7L05tRjw+hmQu0hQcPwY4xyYwetXth1Ol6g8E6cF4Q/QPgF04PcJ
x1Wr56xtfj+N316/aob6qi0aZ399HQGkdJ/fdtopoxFCwBxBWwDHJAi6DFx/eryB4QC8G/0Py63l
ssZUkb45ZIs/DrVfV121KjlfU3oIZnThQ3TZ0HQ7dlOSheUWRMt+Zg9zOJ/3oVuPaNneyVq+sU2x
ZsGU9EuRoPwiqMy27LtVkc1qKIuV6f2hytu4qh6Q2UmcrgZbrdHkVVuZ87Y3B0nmy1nez9mm4JcM
mYOri1gMcr3qtY1teLWIJmnbbsPdBa6HzWRKNTVcZTg7unmKe2yUgzXzkWzrLFzbzN6xZYpbTg40
iNkwbj0xcQ4byvNqRUu2Dbg+iqW46eCLyKzdfJUKf3K8ENvvTheTCDECohwLDv3929PNCm+Gqs+w
6or5tg7CbeODm8b4vZbpOkL0gDqyXYTY/vi2MOr5423hjhEF5XiaCn17Wz6jtjFcIsXb4bFul3Mv
yc5L8yYU055M7Qb7YP3jW56Q6Nt7gi8BFgRniIInJU7jp68TyRuiTRWNTME045ETOamQjMpHflXZ
YEhQWd0AwfnYdFVsGf5QwRcfkRWKIM9U5RLpfJksY6iTRcrroZ6ec9wqgyutqlm8Kev22h50KisV
cQh7EZJeBUEeo7K876O2+jw7+jw6+pPI4VNovimMl+9Dw9MhQlcOwWP7+vu0IUc50TNThXyY6VLF
Ey/HZJzWvO+WJJjSUpUj0qrkmcJLfltAccXj4D72WGZrL5tHTXgTs67s4nwx66jepNPyprbo1jb6
w8ih5oaB+/jHcXgp2O/2LeD4YVTIEZIvOuLrfSMxOdaRgSnX9wdSBm2SB37bW3IkYbWotoiipI7y
SrHlQdDyXSS0X2VN+RE3zb4M+3ddqwbv7lPtnma7pJ+Pe6rGo8j81mG8w0G9qCocGqi7Me6suCcO
vyfargcUPThCUJKZ90Mh5oT0dkxIne7QIISqsCgT7s1qoMMUTz3tkrzcUdnQ1dLBoTYDjrmuswSA
8f1cteuKDFot4/3YD7nCbpBK5kueSOnum6o+WLwa+ykWiD/mS09UF0STonTM1RjVVxajQz6MqZKl
L+IRkMKEveoXXKtTt42HfUqX40Lzw5KlzyHgG1uGuGybNS3C+8Kk75wMVTnP77p62oWtO5/k0ioW
LldFWbz3Gn4hgqsfhw9w/dusA9YHNP8k8QQFx/+7Kgq4R4aImiqOzKwq5NeLH56CnMamavP/kOOU
sD+5H4s4B5eYn8RF9B1SEEaLKuOGKGFYFmcOx4Mrn0k/97Hs5KzSKKY8eJ/NRbxUtFUwkB5iTU20
EqKLy9o+l2nz0AfhVYjmdZf3+dbgBSnaiTamWfhhLpdkyNNOpdkMkaPhO5c11xRlO2mWSTUWarnp
+RgvuOvjAXdHJpebKL/Ph/JqIDxXpuO9EnqiKm/Tg+jD3Vy2cVcE5yKUb00d5vHAi0ghX5wLfuzM
cBj6N8ElQnWjUMovh754l6l2CDeDbA5BVX8qAVD0uGSKF5WqyuajX/huQE0CORZnfQ9NJ8sY7Kup
1ViQUvkme0udfq/DY137Y5kFQoVYfnBVsCpD8byk0bYR2CmyXJmUQYYJ84jy+wGnmaKs71XW6G0x
Lhc1Dhs1a75jp9+OfRBPutqU0bBpsvGKSndDMgS7Jekjdf37YppC5bPxlopojVh5GKMibqfqfDbu
iH1VK+roBzpVD2RqelX19lPdQdud51C1ab1p+fCmiR7tMJRxQzukzHQPPub7ReAHqYVR6UQKVZD2
AEGFCnXoYxlF64r1+342n/ribnC+ibOWHdgc4jhP9bNw+dtWZA8WalBZx96yot8si9lPZfasq4gB
l+giVefXUvm5y1V1Wtr1kYjpRLSyot8Ejg4qKLhcoQLubceNrPBjkXX3g9bXZnJGdaL5FOJ9KGKS
ZpccDX5l6dgmnI2qYKRP5FxoVUTTDrVBo4J62kdTaOJS6kGZ/E0emneGtUdL9IMrcxHPh1DULH4B
iElSHs9++FBkl0Db9m0QQWmPO9It1yT0l6kD8MB9HWPd9SrtsvUY7PMQb2AMmxgsN4jRLTe8irkt
PswcssWQfh06t13Gce18+DDJulS6SE3cVOM66PFqidx5MPP9gqqjy+1l53qnehnsgoAhlTb0MQ0u
ZBC+mTnUSl+1i1r8QyHTZbcU7K4uBZQR8TSWZls36H0fFoeI4LdVuGgFSV5g9JyGHquynmoVhfhd
UUytEiVSZYPuu8HbpGnHtW6z837M9mVVP7uOVvEp/kFT3ttAE8W5xmDw8Bs+yQ8t7euklSwH5H1f
+MWpGQIGqNh7aAF+0+iuSpAdaDzLQxCE3SrPHFXdONfxYvwYt2V00YX1NcUMQjNECVjaUk3vXqLg
tb4wwfgmJ2Oo0nY6IbhRM/GtotCNKjafI+73aZHth3AyqubQMkTznPGQxKyuBoVEcYdL96bra5O0
RTtvy4C9gf54J3IH38WlNy7jWzHJTrVuSlWblccMmsHgsznp6EDhTmWW0DyfEqrrIK7EuKxzrsU6
iDgACAveVRkiUJE2XTHZwFkKuShB8HWhi+vFTLlCl0uV16qNrI4tL6DAu+DeF2iA/I+XOnpbmbBT
I1+y2DlFM3yfi3vW5EXCekhdVBcbj4PDQrBXHeK32Gbv5UQ+sa7+MNbFg5kjqyRL1WJ7NXV6iZs8
H9VcXmeiVmmJ4DkaYUbgwn7fe1iRGgmHIO6ANj9GzcGm/gG16TNEZh6gfNKIGtV+YHlWxBkR68o0
l7LNoIPWGdAaTQ8NZru2mj6NtS8AB4GJDY5cza0rFAD1ew2wJsMmi+0Bnlv4+BIxqR+1AKgmXnqF
UXHbIBeLOoOi4OeVD95HdFwJj96GeffcLSjRZixjGcxVEqJhJWd3mCrYUNjYi6hqZ6hh9qYJssPc
NHcFpjvL6MUchY9N0T4W7d4ApAkWMJUJnCbdEKqX7bVtBW0qm/bMmPIls1mnEfS3KB5sl8w9X5+u
znjcTRKv6KkFsMVnammad2L6gLDeF6G+11iuUtcWilp+ZSO2XTKIJ0zp781g+9gFY6BYLq0y83RX
DT7ucrRnLE9y05HYFB1JAlm9HdJ6N/io3+dlko4B6JMm0rER5Q3LsvNSzm/96N/q/txRt3IpH0AM
DWMcUNcoXS2D6s1iN/XM16mQGzLqJBe6Uidcn9vgXvK5Ua7Fq1Nep7Z6s4BQein0qQq22dxC9cIV
n+U3PsA3QJob1TTtY65zC/R5uUlLl5RV9hScUmLxqeIpgBJ05FU7552yAAYqaoo+DqmGEzYUbSNo
yo2MLkUa4ENYV0nHh24ngnBN83BOxhEVSSXL2KD5qvbt+QtivIBBNVvQfdl5MdKPbPZeGT7peNDl
JarTuBrdfhjGpCK6W4dD94QKsQvlcpwXmwHwzescSNmMpkIJYa/LUqihX/YzJH2K0z2A6B6xdGMl
/B7SCPjI1FaHcdG3Geyodfw9PEWTKQLsbhihd0M6dfLdFNS71pHbF6APXL+WfLrVrbmvgaPktL4/
4Xk3L4+DSXNVBwp3Hd6koQalKnYc2GA/B1c4aq6CHC0xPrVhF3TXE/e7qjSR8nX/vrdW1ay7S+tc
9bzdeErf5nSBB+IEtJiRrKgAwUSaoAUJYY5diI4aovSS0CBQjJrS9Bp1qV7pvgG+M9202XhXVPO7
0zepvX1zEk1zwbyiIz6KMFxF7iocprsmq98tp7IFkyBSA+J3LhAW5C+wZymSvACCjEujMjdFG8qC
clWMJjaQ73Lpd9rxfjuLJlylc3007GZwPI1bluWgqQsSz1pls0RrnEvgaPUMa1UtjQcWrVyub+k4
LgockftTl5J53itZz0nTO/AHmL0b5fxMmY0l7fptNES33tJNK7oboTU825nX23CSu4watKIyB+xu
DHT/rI2bYrjQaO6TlA7PvkjR2vdsD+yuAlxOoUS65orkHQMwnpO0pXpVTf28GhwGRMJzcYw6mcgg
8gfq+Y7jOdoUnhV74mJbFvluYdhcVz3+lAXFwS/QmDBxXE2TWfEsClYencQnisZDD5mZZabfFKS4
5XPYbqclejul76Mi72O8DM26ZcOqnsYodmWwAgFdxE2Wb0UJ+1xAAauxXHpVgxKEJh3kYEo44ERp
eyzmQGyaOnqIHKm2zrFSgc7y8EiFyeIx0mQVsvGxBiakaB7UCTG2vC4IgR9epIDrabMei7K6LlBD
D7qz9x7YV1xoY3a+5fndCE9lbvUcsngqq+kilO5aOqfPM9AECsmM3OOO/PYy47JVDamWa9FpyBZR
VreppsVaZFrxKgDqIzqv6tbMF7pr1oT4KoHT40mjlx1GqDiOdi6BOk1Jnl0stmpiu4gpEcIEcecx
1EkBjhAKskilqH7kQqcHzYCXjJycj6GDdoHdqk3RcFHiN7NZ0KYq0mbVN0DXdT9suwkHx8bk9YZ0
FUBExvxFni/jaky3YVdJNXY4P3fQQXZT3e7mti+PsyPFsQzSMhkWM8Yi92hjm/EhRUVzEUFSxzrQ
c+KNDg8gf8FEcmM8j2Uedxq3F/MYbU3H5K5aHDgBqdBKjEQnkzV8jTSJNk037UcxXUxRP+7LAu/M
4sx5v5gqiYo+3XZNTVc+n5+o9W7FzdAlpfUkRgQrDBPBxBQDOUmwq3SalkSPdBNEqQcLK8o22J4a
AThrJMvDNcG4iGVD6j0FNTNPqLmtigV0SnORjnYADAOSNWe+eIhkm9TNxA9RYGr4OiDV0hCtmCmn
/VKVU+J1eFERTLYhC2POK3Jp+7F8L090aW44OnrL+nXbLFbNkWkviiiz6z4jXDHv6Tby+6yInn3U
RrGuGhsvMwYhO6cSyANDOxSFd3IpnBI5oruhDqYrGwRvFieXjajQpovSNC6Zt6vI4+EyTQlLTJjL
pBJeJOXgzCrgqeqJpPtuOVk0zdgltcVBUoZXzM3kZpxLnETtLsjn6gJcKbrFFntgqvVw6YBjjkHR
XoVg+IGzCOS5rfljlEf1JUxnlQ0Nvi7prQEmo7T02RaFQHdJUS1HuWQXqDJ+Je/yNM3WvLngI2ou
p6WxKj3vCZ5XEeveRtAfqAXY5TngRViIKp5JRhM2pfORzjsXAWCRrjOH1PrznuZi07NBFYUGYlOP
eme43TCQOhcYizUgTHqk2vdXfBze9Mi0MbF5vcqibnxYCIkj2pv3IoVMKFLyUCz1UVcnv4AMcYiZ
ByAmD6KU7Jjhjh1r3N5rlDhvmg3POOzc0WhcdWDrqZcTB9+53ApfPNHGAw+JGhftX37Mwm5BaBbb
jrXAEkDgr0jHxKhqYSW4feEmpfl87GVXnU9kSmZp5N7109qkI4Vkn7MD11F2CGUjEt1MTlU+t6tg
KWZl/TJipTleLqK0DFfDDHkpynzHgXruxwm8QRXRqbwAtQVWk/BM5dAzhpmQXZZJkBkOvUlhrLZv
O3jFoHgFgNBLmTEdyGsbATYafgxEiY9Fzsskx5k4wlP8IMIbP70ba/6gLQjDrEQg+MpR3Gd9G09A
5FKZqQnzGNVlrMHuva46x5I8KshKt5Vda+ra2NH+GnRlsUMTbs4LZOEHxuflMJn9PLkcBLtZd3bg
sVjSIZlRPh7/7w9/etkTBkSozLvVgodClVDZh8GDdIIHP4PzItxWufW7aQ7LdeRsuPFu4EnBZgLN
3qxHV5MD8VA9A1DHuGjy9EAiIg/j3IN10tFNExV21y+8OwbF1B3BfrGbsMb3kMN2oyuUAxoCFk/1
Mm2yUgcb8KkiFbZhex2Yhq9Cly9xXQQj0NwxO/g8rW9nsO2QzWHHNLgRqKRHYdllG47heaXLDwVu
083LKxegW+L5uNHSTYelYyowhl3B3zvUtHtUTuxQRzNZI7mMqmVjf57lS6WsWcR2tscmj4arvmVA
2PtQ7+veVJdobFa4hl7qxk4fay7yJOpptIr0Muwc+7R44raj5SM4FVV6DFy0QUH1Tk+s2jm/lNt0
GqI4JM20LSkTMZvb26Ll/XHp5jkmfgqSMbcmHobZHwTJ+J5WD3zh9TmwrW6F7fCQCVDrxLNqHVXD
kUxOKCub+hBpaDquKlF8mufYmKB2Saq+ZnveuTwWobZJwMPxWIzdyrNw3k1FEK5EZebrqzrTs046
nC1qbKI7YFJeyTGvW+XJ4mOd+zQO21wcCUitfdeiLShAc+XqFJpHmI2j6mRllPDhvK3nZdzAk4Xd
ebVop9oOg6zgy6z0bILNDDa2yk2wxKQrHZS9bTdgEcVotlOc8SI7Nq6kCaYe9Jaz+vzlBx6GA4LO
eQRcWAWTFsrTyK27qJ1WNs3g9gIwjYNgBbZGdZxZPIIsxWQDk5dUicDXazuW7kiNyVcyjUCs+wUd
6qzpFGGwChgv6EDmAPWqgacf4tR0xQPVY7MVAKpwfG+aLszWsww/CT3i1YCj/DzlPF/3ozeqXOw6
pw7kI8bZoULRsM0ru8n6YTkwtuSr2k6Bsn3gsMqWsVFLORJV0nkB/jHii5FYlZVELCobaJDMuevO
sx4UvNYg5SQIBY/tSrg+OM3egFJJDKrQwhptBZaWCWt3//I7i+nHeRzoCsAdv+XNc5uS/CFAWX9M
zQwQR2oMQ4aOKBoAkqYD9HhJbHBsB9Mk5UT9Zs4qvulG36/r1l8MwKRWSIvwiKqbGS0gdogfulho
fMeaateVNczqbGDPy7ToYuTKzURPrLlDwcab8Hm2Q3AMwc3FRd5dts1w55Y2AfOW76Pedsd6wuDe
tHmxLljZXJuyuM/Zsp76EoourPcDLfTGCDDyC02WpCNpChME1p4bFtdCQu5VTQkwDE+q3socnbeG
RhdlpdPbuiuBEYYNXevTS7x0N6Aw6jgSeX2ZNlBQxkbhnqcVW8mMbeduIUmU8u5So3tukQH7yCtv
/HvZeXFvw0wnmQVh6vvI7LNl6EH80psXElP6ao5rkl66UeiY09wfZLswNbqqAqsApmJlBRM5Xtc7
OtM5LobO7XwmeWxFcYtNQ+6zMNszu3Srqm74eVlHTzDJ8bGlJTA3V7t95uoozsGjYB7JczuJYTu1
IGn7yTf7YIF5C1+ovwWLIFfhxANVltpeFSDYruau3jBWQiML5XGwGb+VbZevzejEU0ihT5X1ZnCF
vxipfcxkKC7bujv0EvTX0uXVpc193NRQdjyY3nXVwFaQOOG2Lp081xMR6mThU5Q+8gC6ydSfkGNm
ID7ckIHzWr4tK3wBGSEAKLpm79k0xCYbwhUIfa2illcbM1fDeu77FU9lcEW11Aqs3uiCtzehZjCe
cAxqX2qTWBGArruCMUN53TbpKg10Djan2QddnV4aeR2JRl9WbVeDAZXzLTIZWw+Fjt52bZssc7Xn
SEd31lThmk2+2o6mKk7Nlh/HVCQep9HdXEzNpZiB2hdCM3AmDDm6Vs6boAfiuSzizuZ8ua8C49fR
hNmKgQt5kBhkb2/rNLHRKLaN1tnbwvGLoaWzChbZbcKy9zcBWYrtkAFavbzMUVw21F/VMKtdtaIe
E54GIIuhj67C3I/HEbTX8eVfhWBJPw3lDsAsP9AuleA2Bis3GH0YhF5lHi/ny2CX8+L0L2r7ct0g
mKtNdgkvs3PWGXbZtTyMZZq6xE4j+LFQi1KRqKHHdPYyfqloylK8nucAlBKx5qlvRbDLbEmMyk99
fimBJVU9jOZFv6NRry+HJz12wTqiUDIi1/3h5epQASUprOm2UwRciFqo06p5gCHLfGi1r+J0gBRH
gXMbaT7qppE3jS0VRRU+n1Ko134qzsegbNSAe5B/4BYBPZ3vamxWrDVZYiKo/TyYZQJPtRzaIGgS
mRvwrnTwEWMYeMBEHmrIV9k6s65UoQz43k0IxS+dL2z6TdaIy6kEBpORCoYylopdtwwenKsiTOwS
RSvpp3LddeFTOeUgPZaqWM86sue1hXlzxlahb2H84EEya5gn9GUFoxldE6Xz4QpMvebde4H79rEk
KE77AUM7JNEDL9MFkKTQb1FrJxUZe0la391UVQEmd1fAeMAZ8SZEMCETGwl98CLltn1o3U0dkvzN
uFhzNZHxnoe+VhgGXFvMwmSp6uJNIKJNRNrwnKDmIW2c3NQp5BLnDqZVKTy6gDK/qscIhqoZTDLc
GKyzWkxXXWnaLam8iBfL6VbbTiSW8ToZBp+eg8RkSWd1GcMofE6mwhiYLJ9DLenHQKDVMlGXwK7w
toMpwrsmVy4M5Tuim0jlWjcwPlmivSs1DJZQWGzbJjAXHAM9xmF67Ei3SxcfHDoil0samT42fHQb
oef/Q9KZNUeKa0H4FxHBKsErS+1V3rd+IdrdbQRIAoSQEL/+Zs198Ux0j12uQjo6J/NLTVDKJB52
6DPiZ1InmJDdiOJp4sILCUT9Nlpyti19Cc/LP8QjF4duiYLcs118HLEIWEDGx34mt8kF6Rvp5PJA
cVw0QdJWi12Hw6DodpwysSGNK9PL4kGn2Jg8TtJNf/gwQLCd1vEzCGEGJjX18pWHZNdwACeZZ6MS
OxItlPxo5hbN2dJekgjyQxAElUbQ7po0C9wZDY/ah6J2qEXbPWGWNfkWp8VgVvrpIlSO2CT6GqgW
jMEmdy3Gi8pTui7cLILTONnh2MdjkWUiuU4kja9J1kOomPwzNl6fWffUsUhX1i7ZWcj5xXf+bXBc
HSZv0x/rtnzeH6o/oyy2Y3bmAy2TxvT56FjwBrsHNAX0sK/JpH+azDUlVT65EeoKqu3Y5DM3J478
8G/j0HSiS1tf/GyhVRhPsDaZuEydzXAkqPq4mVZdmAuzHev8+XFq5Vr6o2VvUajiXPnN9GsMxOvQ
cfHTxDYnzb+VpOEruuDhgc/eHzU180e6tvFhRfktG+PMLnGrV8CCDy9zkGYnw1010Sb4cDJKi3Dc
/mRM+NcZbXMlJGsq+ASqmHD075YeQ2/WX7nc4JD46VxZ7CYDM7nw4CF7BJqnUtP6/5rVTcvX3Dbh
UxAdPdf89JnyMAQxU45tkJXDxoZDl8I1Sj0F1ibmT0EnaRmNzJYMfel5XoePcUaL64d6q+B7sZw5
4ARchz02anTXDSMvt7abj2gg+jL0mN61EA/gLfNkN/udvbT1eojTaSqDuql0KsOqpsuPMPN86INO
lf/9kR+sr178kNWrreJE6ZPBmKSzetklAr54ilIOh0SLZ92tXZ6hvYzJIN6aJHsmqv3GMNrt28SM
h/aaLAs/SGNFwdiy3lpNKzZ6IYxC0edLDPk7InA2pK9EOYqxSrZyI4y9JhHUU+igOFehSo3dvJZE
6akyadbtyLwGRew3N7VRVng9FYe+lo/44JIridqTrGN5G5ZymsB3oAH4iiKKHtF0Pza0/g7mBWAu
NrmcwrQr12j6MHQNXvK5DWA5ktnbZdEGOXPxTig7c74mGdsNIc+u/UDUblZYW1M9tlfaNe0VMmTl
TB+d2hUKwBa6YOdlkt62tjGHjDY6bzmeAU9878hCqJpQm/TOb+n0QGirCz9VJ19DGIs6aR42aw8d
ft8zGs5/w5KVQsuzxbCF2gnRMpg7bP4JMlsn3TkEVLJjoaI4ptgv7tmxwjvQgdYXNmRnlkBW4GNq
c+eC8d21LUZDkbzOXXaILEcZWOvgmgamsAlKjmv9aS997F8Ia/UhjDaACx70/l6/hnYwVSwAqKw1
/OdgpuLdo8nN1NR/cGnZMpbc+GrPXdsFZR3E4KCUW2C2TKwgok/2jsgnaw5eO8YHRbGoLYWuCTkT
sn4wtBXzA1kZ4i1F6gYJyQMwS2jhpTnqwgPmmrrEizE0gBNmstQbD13fXwKW2DMohCWnHhaKUXIr
8KF2BcT2kkMq20dijM9i8kvoPzzDAZYavyS9CfexxaFpoQ2UoiVHk8rsZQ2zQoJwmnvIkstI9cE2
EHiJLiMXJwer0feNdHnT8Tbu6LhBDHPqkSwt23E7ErAhPwZ6wSNZBwwQ6AmLenNRETakf5KQ2jqb
QnDV7YdlA2aKVfHDpgFfySCogRbN/ckFCxyGyNkCI1VW1m77p3oQW3Xa+Tlb/frYh/FSULjxjQZL
5LnlMCeuGjtOn2kMI3I12xukS/ADyVYXLWL5N3/twLlsO6tGBYmprx/sBOZxadr94K0L7DUV79YE
NrkKnXgyBqdGnW1Pvm7sNdMRooIMY7TfVYE/zHni6HF0f13oN+eJOg/HT5zPNNh27UYflZiby1wf
Nh+efeuzZp8SlLpJLy8Dld7FylCiq1/ljlq0rgr8mVwT+Bwsia/cYQjcWHChtl2KMQ0s5nVXpoLx
o0YHWhkxPQ6zlfuAO6yDrptzukhRKbXGEA3EaUqbh3mFa9+PQAXSaIKLNeubC1mR+ex5gVbd2rgu
G7pe2rkrh05PsIvt5399nZuTr4HHzwP3QEip3/Ngn7caAgYGmyfrd49169BINmGhe2nzVcNErq3I
oPxBV17Sg9DJu/PjDKxFfRMNBA6x/h7McvEkHYsFBnMyp2c6m2Bntg2PNHJnTaO9nWovb0VszqAC
S5mF73G9PVBNe4wQ4nMKoc21CUplG8I/Z+Pw5bbsFjfEFaGGFybEabR6H0ttcuJ5T2OmbKngRGau
FicaAZ90JM8mnVayHfcNlWw/OPXRzgzEkNWlUdsFHofNGSQ5MY3XwPpftREuH2y/lStZ//grpAM4
ebcl1GUdZt0J0Cugttr9Qo+76/0GU7CWvJzd9Kw6np4C5f8s4dtgmH8l68TgL3iPegofTEiXYvVR
dQDNnXg8bWXHGKx0F/3mxqGzq9+nyIH1WVh7HJ/YEGKX+BbzjuWqcA1LqzhuS5o2ZQdqVgMGyief
trsFR3UJ6cGUClZ15fy7BBmnedf6Bm0sY4VJKD+FDyuJXCE5Y/vVhORlMuSFBgY+9Ua+6qi5Yuh9
yupRAsCAzE8BDkqWsIL1w7QzvgdNqNNLXrMvw+pDHaa/5rSenie6KRyOdIMgfLTe/JnNI+akCa34
usw7b/bau5HXluOW8TKrg77cUu817Rd5wKi87oY4e43wMkn45nvhCAk36U5b5O2nxj90TTBUNZcf
sQ/pT2dqR3qtitEbbtwBbAF+PzyIVRZOYg30KvwtXqkevV8uurQkQosOIWAiXQ7R3TuA4Su8jKKT
q9WFUAFFmv/G3QB7ueZ9W/LFvUWNl5WJ4enZ0eXSJHYrMpMueRcAJJhoYkts8GjXNqkuIOPqvPOV
288N5ImOBV1ODNpYO8ayGrxN3FSXPEU9UNpGE7lXal6PfMaEs1CvqULt8ENmckWIeMUMk/1yVPz2
6PiMzh3IZ1ooQH4h6cg5GG6hskce+qUa6u/QUh9eFThdOLq5JARrC5TDLks/iOemT+dQntXLlAbe
Q+rtNsOH89Kn29ncTbF5IlmZNh2YpD4rcP1OtfYRcFNmnmGtxnegtz1yP2vz0dICiZbnehCQ/5rY
rxiM1sBneTzID9E5HJhm2U6wDqYqkGNUYf92Lz4m1YdRmgp2uboIbM0L5H11aT36ZLw53deLFpcM
Y/4lG9MzEtLfIVmCgzJrc5sXFBxYtCr3IqIfm6jbhW1fA60CFgjx/sGgXBaTHMiF6PUU10t4qDev
LXETw3essXXjYMOgG03Lad5QFz0bl2yVZre2M4zFcbhp6sROSA3q3QiB0TyaHswyowJ0XR5IKX6t
tf+IX6/JdRPIY1fbJ7ZO0alLzIrnzJ98FU2PvZhRJ8dMAPrwVsxPBGyNFN9xYqOb1yw7wusYWG1M
crIuEbxMpyrr+X8MGKEDmazOPRnmbBqBmy1Y8TQFt9bJcdujEvzKOIaNxoFyH66a86HkmO8hoZJT
6tXmO0v8qpfy0mubXmDGHLMNUwu0xLVKVxbmqpbvbYoK7jXKwhqeo3PfzVD+VnAzM5seTbbpc6wW
e8mY3MAX1yFA2SY79KMs0lF4EKeyEMDZXqELPohMNbsNr1yp+FF78A/EHONYWsjPXb7Z28x7YB1m
aMNksoOKORz0bNvj2js40xELq9Bk2S1wSQdX/V3j8P9OMpWHscnAUY79oVfiJ4LKdGgaoisxkihP
qLfcVo5TS8KikGG/j7xUoidjczn2cEUwKFSrGj2cK5rvpFXhbq1kIkvZqKJnaQ0rFUCoCDDxqXqK
ioE6fvLj9tXnPCqiJHCHQWTzsWHTExFpuKPLlhyTeDxIEk/nOu4VJlA4iZ3sL27EgErldl3X6S2o
Mad7gkGFzhKaUyj9BeRDUboNomEUueXILdCihVVLw9PXzSZQhkV0cVF2UA3dbd0iX1WA4632QFIT
n/BDkD03mQgufb1l+UiUfNVp9KgkVFodZvJEWMQvhK8QKTHM5QrZjLw27Fmg9kGkXZZXQs/G30iV
JMFHZwC/rgveu8EgFx6IZUHZz/O0g4kwnBNftPm8LM0+seSfEFo8Uhzagxf2DxCyLwMT+slnyWXs
9QVBegnAZTx2/iB2KxCAB6HUX0z8n3wMr7FneAENABN2fwtdOBew/QEX1BVtmujkb+tF1D5cf79/
IwM/jbRZTn24hruUg/fUXjkOa3AETHtN6xQvC2IrX03CDwkvvVjXu0AnXu73KjrKxH1YPnHo081u
jOf4BAQr3SBJ8dqc11nHu3tZmbNfigh5RBH/M5og2g0puDqj1T4jLTlY6gi8XTSXcP6fUIez4zwN
buf66T0FOlORUGVF5PX9lfrs7APRj4tW4OAnPqw8PQOmjniL1dyAc0bGZ5+Ny0Mj+BE2o8NGBbm3
1M2LX7dQWDQ4Fzpp9igwYsG6dO8iCb0HaLYOLA87uM7zX/quhbe/3h1seHQbrZGySAQAUL6FR+Fp
D5SSJvmyGnGBlgMSWz8CsA4rslHsJFc/AGf6TGa9i0cbfNtQ7LsQuFsXmQtbku1iwbPAB3F3qTT6
wxCPQNonjQoJBag0PUZETNJ855qalmTq2rPm3X6D+VZlwnqHuf2aJ/aWEu3tDJHtnur+Gi3XkPLm
GqRcXoyKP+c2NnuKqRB7B45wu+2CeYxRltv6MV528VCpHg2ycHg7UIH7kf546YQYwYDmC0jKlk/w
pwKovjsytKX0yNPa9gnOHH1RCvQD1u1cqu0+PvGmbBIjC5IuULfqt0B13zKbPgFlLPtAo/RIofOA
YB1mNXmdoiA+uSbO+ZyWdITeaWtu7pW5QW/tv9HFD05usCBR6+DQh/x7EiOa7UBwuCQQOga9uJ3n
6zycpb51qEVe2lbAPOEWO+z21k+mKua9hYmokqNH0wEbTkPX8Kkqar4iSbU2h7hVgMaIPGZRuBVE
vfkmWAFHxFCjia2fM2JPoxyrmcr3lUJi9mt7HhiDdc9hFjrvtBrgyw4Q9iVZoxvzNnKoSKkg4Tck
PdS9yQGNBudaUF043EVWxVGUlTAfvhp0EoWByJD2sAPQvQ5z5gD/j205Cz8ueEeOkEVYPqyjxKHT
hoeNTxVFre5ajWYpEjD2AHKfNRTaVqC71rG69lH044/TYz1LMJKQa0CQ1F7JXICTnClxiyA05wR0
Qg744BH0/Xfo/1ZDFF7++5KFN9vi3DJ00Htj+RH6aXMW6G7z2HfpLavlk1fCxeEHBNPccROyTCJ2
xoy4j4AgHbRiWQE/9c3R6TbKjRQ+zsdHrqnczVP6bDP+gha2BbSEviXOmt/DJK52ir/qbatiGr3i
VoftICDx9HP4awZDk68dYG+Yh/t0iBBfCatAZXPZur4vRV1/Uw8qoJd1rvSW7iqz6NfQxt9RDF3o
zqrjWf0dt7bACY5oT89vaEX+xiP7F1gPdjAMp3JUsE4xOf4dyODn3oyht4ELClnFgGnHaEzFt5cu
Sz57gLmyLnwA2k8KI+1ULdOB4S0H0SDuDff7kq0EXDK7KTZMuW/sywTBEMoBy71GYFr0pp/GMp0v
1v8OB3aCLFE14yJu7XzLlikp6plDn7EM01n0lmrPorreOUdEBLt+uvyfQRhtOStflpPGm2/8tK4c
lSqfOkCGIdp8IYoW2yDnuCYD2OE8YlhDqszhI9l3TfMWoVB8ajAaHtq0TWz8GrHoWdXdK7fbe0vm
bzoHYBGBzBwctJowQsOSLmuUw34g+5VSnWcOAQyVbX9024V7xpNTx+HNbbiqoVAWlummoruyGIrH
IB2PAfuycQqvI1BTHgwUmDwI+n7xHsJ0m08GNg7mpBqt8gQw+TbDoUTuAtpxYt4FsDk0U9tYtIDf
iiRc3EnaEsuElekGRirYMrjR9QTqzaU5jMUiXtJnv1ZmP5M3IAjfE4XoUzdT2YCzokW2ICakKdwi
A4nhVONYurMBOIJAypP0d0zm7GXgaimADVZS8P4csQTOdhx8BDhNi9REV5Cpj9CnHp1eaije7jMQ
+gNZpwBCcv+vT1ly7ftPqfWveAB31UqUKS7987oQmneaJ1X6MSc90PSuvWUKXYyhPfx0PK5Egufb
WP0P/RoabatyHyHNSkT8LVTEKzbdAlXiT6ms7aHJZsTrVuBvxMRo/uLbIsEANaZ9aGF7hjW0U58E
mAHXyxqnQz7L0RZkvQwr+p5Wfdlk+0kBlsJqeOZ8wX+99b8QdS2Whj55NfB/5ua5UEMHA1ritIwR
ztOz9xq1P30AP5PMMJcZlEgTvwSMNdcVs36OB+3L7VeqgrSUK30z0CMLETAK4WbQaJG7JqehOSBn
Bk5+bvAd0GHzbkyXarazLIImEYdwtX+7te9h30JfntjX7AFuQzDnuvJkOcZ18iq39alp14LiUeh1
h7AwhPa7nsW3AaIfkL17l7/mCygJ8GjrWwdlNY+d+Zl8xNrCzsYPVqNvVvOBgeHGRMEB3gGhCeI/
Ix/qx0X57U6ly6O3Zvelbxv0J5U0AbY0PqsglV4+sP4CwGYujbzn8UxwYVAqYPVDc0/Wp1aMcw7j
qd4HFLuUfsowHXOxticoM79lA2PYqO4L0I7IU5CGXbSM+zZk7xIDY4Gn6xc+maG0JAwJv3bqczNE
OPZa9LaeeugbBVPUgC+3CcVBv6wVRkd0Rv4EJzb1iy1qIDQCxod4ARQohovlTyzK+6Zbch12eITU
7knris41eDodYIWo7WJIXxD26TBfAN7YMlZrSeOpLxhCnkeR8I9ERy+t4++KjDDMrQ5xVkP8A8V6
Z0DqB9H0yKCxGPEoXoMy8Qiar1QcWBpDeadtm7u4RWMj6Cv8I3smCKWmq4vzGl1oOU/xewLmDI01
zgTyQdU90UUsmD1vWB+RNi3VDbjCHW8QN2gUfzMfcLHf4njN9iEVZ8xJU96O9DwJ+y/t14/7Pzvt
w7zk6Mt4moBj7L+IFyB42cMeImzcQ7r5CYjb0y19ZH7/NLYEPnYcP87QAnKogts1eCaaBI8bBy+4
jstZO3cIGHIYplgXAbWSvDqOUs97/6bGpsruBDVku6xjT6FuX7Fd1iePf/SRxHScOn5xk5hyntTP
W+xFWO/Nr7D7UnfJWCSLAkAERKJG3wcqrIyW5XPD6x6nTs1oR+dt1/HgPC2ByyGlWZj0Y7ITyFSI
iUYVKLnfE8QusjT9DrYvK+D+D1duEIqoYwj1Tbhf0m7Z0VBA0XCPJmA4Nas6owCSZVE7JapRLn85
xE4YysFURGtWsbXVuxkGyA5lA2AVxLOt1ugOcV6QsblBZEMTknlvjOPs7MbtxdI5K9qVTb9sDb2Y
oxjED6hbW74GdX1mEgwQ1+jdUdvnNrUn6Mv80iO8gBxuWqYMVSUcP7CwBGLaDIquh/06+xOk+uYR
OX+vWNyG+tqjVa8dQPJFN/xmgvAQT/Rd9st0HA3Iccf9fYYNg4fZH1o6hGjEqMubAOnjtAPcSuT2
RBr5ONgYJvnkFywVf9OYt8DvCMJ6IyI+8YJuzazBF5s8xDLg2mNsJ1jueyv6wvbzTxRFSGMIdgzs
OkPQDl4EeTPEaTx9To8kbUtDwo8pRFMGG6g/jd2jDP/Giq2F4IhYrYF9DpYMlWSEFIU7LS9ew25I
9qLxo5zk1GDLwznPW0/6+86EV8OhbsEZKxmkeoQU6e9EqrnsIWcSGHk56bzHSYQsd54OCgiYN8MP
JEr8YxjHr802vwwz+9ggIWyCzBh6za12uNYgW+xusXD+VOzOE0iWsgujoayFeZOyOdYLUIM2xJkS
aTrmdsT0c98cI4wtyQzCGBxXDMQwsmKvubRJPZYWSY2dYT8L0OeMms+tw2kbJOsAPT75Y0z9Vvvx
o8q8XctjWHbN+tyrO4wKiq8Dfyt6hCU0EhEUEi+CblOMzBqwjLyekI8YBCsh6Z0U96IKweBvh2Bw
Rcd2ACodt1fZRqz0NUQskmwVI47DKqJ/QuT14DorBjkfaHQPk/izC+VRkPaB2bk/E0CfyOMopLmF
B2x8hky3jsC+vAwZ0jGMuiKRQ94ItJwZR/oTKt1z1LNtTxGdKrgGdB9QVdYIbu8lTI99MGoEjpR+
H+uel/UIWLSH2Z55cDIIMrJzHX9tSY25yddFPCz0FKv2lM5gxFN8w+yT7riyAENWbyu5qbmKEJed
BwWf2+hcT3dfma5RmQzbH9l5vOQ4HytNAIium9ubieF0bGl9mGPgwj4EI0AVGb7M6o0jQZTM3XCG
PggipwM5waKp6NLW7mtY/NXKcQ1BiAOSJZiiPbadcAXHNRVd8wUKsfLnpw3tww4RblHKmhxnBOGP
OuHxYVu9IDdzBERh9OczHOFMutcFsTF4Hf+djlLuggZB6jGTOAztez2QZt9567uoV34YvOUCPKhH
vijq/kwXkGm3cGzrPeZUTFoho/s1wrkuRrMVBq5tCbsbxQxiGdKl6H+JMabkE9LwW7b5iNt9hHec
EeG2O9eNbkXgXyynYdEE4jnM7G6YJAKD8FBtMr7A44X201p9jL0n3UC6vBehfgIawLpb05iHUK4A
mcNuLyJZ6OwTefmmkJABvJQLaH3kU4rpX+d3yNq0G2aHEF9mByR9BLOQJwFW9RqqT97dL+Hw3vpu
jHd2hWS6TAtybeSubpG3uCuMAIUFPx3whegOc8gwLqNYQm0nbwFinBOjjxmM7rwbxjVPBPUxD41v
LTVfzb0q9Hr52yT+v40vnyArUkjwXpnwcT+t/mvQuC+gXLB4I7EHahRC9zDwi7GcMTFjvQcmwYoI
l1LV+DEgxuFsez+A8GE93yHXDiwwaSa+u/80Dho6z37VicRgOSWmaPowyAF57EnSoP9Y8G3w6Y/O
yh+vToMicuG7NiI41HP3Ceb2bbDOQyvZcGzy8Dj4rq/++z2AffXlf/+2gVUtwOPO1X8/c0VqFGi0
T+BWw1/hDT6ILWwRnf1vujXeTzL1Y8Xr8JRECBICSitCDDDlUMu50u4oWkF3lq5/hYcNkM1LCfLh
uV6aLFdAgm5RlExIBHJ8sZj8jR+gkjUBTDk0tfB1fQOwx/fLOiPo4VqCHAEmba+bEE6t+0LNqZ8v
8H92BoURehYCP6IBfgOQu72EbtjRzCnQavZse48c6gbEjEMQPfZXGG5ZVI3B5sNmTP/pBpJi0Lkv
sDYcpaNdqq7F+Qpw4kFvuDxFJOy39TZ32pBPxUiewABaxUW47B2BpvsVBQLRiAZsZzT+sWbhpQTb
dGo8ZNOb5FLz5TaKrT8ODC07gdNwYCMuIUEH05RzvB0Y5eEpwsAF8ySOyn5NfyO9yXYz+P/J8mUX
re0IMg4SwRJH+Ob0nZrZ5r6QV6Tnv6nv/jSqH/csjN3p/nNMip62XbanYJtsiR3Gs7gU+G6AVWFT
sh44KeBs/CFtEPJmZhmBwcBP74YFocoFF+mzrUyo1hCGBpBOuAVj6pEEUgMcuA3sagCiCWMQq2j/
gdjSfR3jjIk3aNuTBwp1atGaBd0HCP8MmOQcl12jn4Y2RZnPbNEOiKDpeflNaE8Kuo3fkwovRvZ2
V3toXUxvbx2jZapxgUaN/IYHJf4cwH9jUMKiEdG0ZQLUx2Anl0HiamTLVNV4h//+ikJCumWt92/l
Dbr0t3DdIwhyG6j6AzLoh8rmow+BWpfBSN/UFu1HcAA5RoSXOPCfs27YGy6qZes+ja90bqL02zXz
v/tfBsuA+4eATgFFRc7RDadOw1JbEYRvewY4QZ1dP0OIgoREI35DI/SltidP4lDvHKQKDP9eDpUJ
nmXmftl4eh+REc5DEj0jhbiLve4z7Ya7c0lwlUJAfoBIYpLxNlo4PeGxZcAvQnYBVwKkA5gQZhT4
xYq8CcW/kK5ERpvEb3DsrsQwsHX8ebsP713nB4W1AWSflRUzfOqShtGND8nJMF30E/vGtnzUHH2i
r4dPO8Nm1chDWPPYKIAaI4bZJYhXzBp/3WzeIT4D0RHdldHxQ6JuwudK7gqGTuN8MAEaIpzznuLX
jYcjzlQIuytQ+HZF+rzvlxJGKNgbv+hwC1QbQLI0Bv1k3ehc4ZdeAELmqUR0u25aCMUYtwWW29B8
D0F0BhXwkUbeNcatOtCPyB5BtWccZH+aARc40acwmX57XbLjInhQRB56O74A5vtaAKrXW9/gyYFI
vn9j7QlSdUNgdmzi1xiIo++Ld04VSABc2VEgTO8OccBP0zL+IgbYoIAXAK/uD2TfPm9G97tJsxrT
1HKl9zykgPM7++9QZ9B4S8yw/y1UGfDfU+v/AkXxpxXLKVOIDk/hS2PwGmwZL83o4aMlCBrMopzE
dtDuswnFlaLTkMT/tLCV7qLGS8PtP7SHlYd1BLD4AWzWX9T604owZy54+g3VYhnmt6gVO43/KwYc
jvjUjzBduUVljZb4kA1oI3C1AbJNUPOmDiXVAxntPjMUrNz69AlXIV1IjHgFEmFfDR2esWIPTEx3
5xFdHOBoScUxcmmlI2hbsGHe2qmrfI1pX4jpvQGjit422wPcPPtsPiyEFF0zAZKHmtDbq7V0z31E
B8yFc31CQAhA3vLhh2N1f5P3TzAcEUMOhj+A1544wbwyZZekTr9bsAFQgsfnNdI7zD972c23pfOf
MfP9CjPQ8gph9ahf8/+Rd149cmPnn/5ENA55GG/2olg5dFdV574hpJZEHuacPv3/oTwOY6934cvF
AgaMGY2k7mqG8/7C8+pAkRhsrHJtRPkl4Hqzq/mXRy0tDLs1eIqtcFzk9nF5mDrhh5eGJ8PWYibp
+dYpQnMat54cXtwu+9bb7m5uih9uU35mQfZtsuNNnjgX0CuPOZdZXA5oL7Sy4zL+Mpu9gmCDWMVQ
ox+zcfo10Q2Pox+Nm17qZHpLMer9pcBdcmUAJXmkA1EQZkw3o2a956J85wPtViRMxhUZtJVpaLci
6kn28F3iPdIRH8xN4RFlaKTGbBeW+1LurKwk6m2dDAVTKDafVEyJhD99XArV2ZSTd9BuljdCKQBS
o1s11cGR3nHc8qO1iB9zxCiXSp8D1sNL5mzthcxoaTz4JgORP7mo7Y7z4Rb2jDmUPmuQFkxEX9Ps
X8Y6IRPAAGzG6KTuIPlCyXFmCJW/oTAFjLVV4u7NbmfgA+CXVPo60vsjzY6fAdHr1TAanCZDK+eL
GH+F1mj7nZI/34RZ3cTkIXTYmliVYXsvtAAh0C3e9Po1VmqmuZZzR/NXFWB3SJ/klzKg7R83nDLl
UlBtlJNsRrLClUaeqbD7bN3DTyljceyyZhOsTS3dWPX8kQ3Dpz3a+6wsDjlUA32MHn7/5YEiZNLk
71G8HTuNccrlSb/8/Ctanj1xrj5M8b3n73IoT5oRqJVlD9uBUpEedfflF5bvqo2mkHgSR/oyOCs/
EvYZhMWrlRn3xlIHiB/v49La1KaTYz93cfKw/G6dW5QIJqdMk7Nw+xzqw9dY/GwD2nV8jS8A+PZq
4ZskKVcMgclfSbuZqxDvwMPIx7/oVrTtVjLgfBAEyZFkyieT76mJ6wsJ9o84expcvsFqmcekrv9K
6Lu4VUdAwNHXngXNbSFjLd8uf80hLGKmOFPLfYM02pRcHZLGaWP/qrwcSFdyi4EP4aP/sBv7yg/y
6IDz4UVyFl3zw7NxZqyOUlhiImnS/zKMXQvEgyeRwHVJBy5Pzidec1eufmsMoCth/9zGOrIHLAMg
JdfRox/lFIUiPwdUp0nXqias1RcWoeReQ12x0b8HtdXL3sT7cl7xoLE3Z4tIxrjcFN+CCHYL1wBK
t6meFjpNXaIqN5H53c1fcwPmxJwiHpKN9PXicwFhaFkuz1k38XQjwy+bxF8QSjzRDL6wnOp/su76
GpyhEW+cNF+Eq8aP4uLsYg02Qlxzrhtbsx6DONxjYVIpgsPFqZA9UFU1bSWyZhHPpj8uRBQ6/Y+0
ILdphRKvKnczSKTjZEFKLWwCHR6cB2HRt70c3kudnAMyilFL14S8C+CKA8++syin3wwP8nt9mTwT
mXv8zZDSNXnTHRdLKcR8K9ZuHp56AFTcMW+FyBXFBLmftNHvZNDwkJx+uVr2To2pC6aX2GqET+ca
x4hBZtKQczvzQGxJxz9xuYez5NBHir+yKmM/UfnB1rL7XHBPeEM7r0QDyWSISprivDb6HikzIbAX
VE+1ySHBzCEyEiiAWjDtvcq4hHGL1dzfly8uaLPncSFyQCwhLBNl4z2LzLPl/tSD9O4l2susRzhi
evWZZBbghCw+FSFy0YLCKmBNTZQkSYugS8/n/zNXTV9Y+f9CVnMBWjhk1vGKdPGbX/j1D9ClIRrs
Vw15VRL6v9V99lLbrX6hibEq20A7jcYPeFDzqW0n42ySRNpQvyH15riUP+mWb60hVo9dSY/Otk/A
CrqHujKnRxk367QJiXcE6C/UPJsi9bZaQWfGAJnit3qab8ONzMZ3AwX8Ki1e1F1grHUumc3gOtJX
YIqufSy+KNlkO0PlhV+RkvM74nFadDLII/NnUWvSNLO6mzLHPtQ4+ak63hC5WqdErYglmRmvauaQ
NDL3v8ugjRW8hUGyA7oDnIkg+fIyqvc1pTIOg2czMW1SkGRzDPK9Xck5BppaeqgKGHiupW6ELEiI
LvX2sjkXpmYcRQCGx6nrR2+G9pZjlfUpZRwdLJc+pdmT3gbrzkT1ECk6pAUTBvyJajfjUkyGFihP
A32oTVLyqwQO3Md57rcNrv0V8sousbWeOQ9mErh78wJuCQ/6RJqG9z2hueeg7ApSJciQTpitVVAO
l3rANy5G1/srGu8PwOwf/Me/glK/CrJSKoz+2Ab393/8X7ufxcJWb35vE/vHv/7zP/Jn/PGHLmTY
P/3Dv2Fq/wOI9q+76P7DL/5nSu3f4c8LyNUF8/lPd8S/UWrXP1EF/7Sf4h+/66+cWljDrJCAM+NZ
3CWgiA1YgX+AauGPS4YoASQWZxVKDn/X30i18i+WKUyTmWTZPwSi+O+kWoutJZ5tOe5v6q1Bx/m/
ItX+Joj+iWwpLM+GYgEAXRBxcBeW4T/dwYGDgKsagTroVFjxVBzHYL5D+ONNlRbL6ZeZlNoaT7Zm
pffDWxtCGekaQg5a2j61GnsF++oZmfPsYaX6hNxwtfr3ijmZ9mdDj0frH6PGPhp9uLYRnwvcZcWl
twqTeS/FxLBfd68yTN4nJaujREiEvSK0VVU3nH5GN2fSViRNsrsMxmYrvPh7ldt30q37IrDPcdN8
toH7aUWI1rYXpuSJadxJIs7AM+6gRm5TacMVMIeX3M4n6iJVe+7a4JylFN+6wp9gfIA94SUtG+IZ
nvbmWO0xDiJGt1wb4C7ZYCG6mrSsqi9Nk104nW/LSbyh3/sDcn9QmtRwqZ954z31pkcrdHfGEGyz
UCOO7ejlSk/MlnAU7+SJOcxIeeSJev5eq14dzNm4tAR2V33CxGXmDB5UK2LfIB6I/SvFKq2LdReB
2wts2DnQiQqUJaOF8pIl3pPrQP4s0Yd8zdKI+Sfofk6pUfFu9GdSFzRM467e1HP1vZhNlOs5eRVe
BH2VxJi0AM7FLi2yaHhDiLty9oA0kkNjqxLhByo+V8nPKM2uAWJxSGvbEsZt1sdPU6IkK7nmRELH
Iyu3md1dYh7vRUnZoI2tSxPne1WlvmxzGKVjYPmeo/a5WR2NGITk3LwIV5C6r61NUAp3O7vL+b9M
XoxUvzF/bZCeOr/rcI/I+DYkX/C4FC4c3Rt7rSXdmSbPl9LNa5LDcBninSQUuPac/LmcxVfmUmsP
CQaEAZ0HaSC2G+kU0A2BNVelpI7bmdJSqmVXRpGrOwMMjAPjZzw0ewcFzan7s8QKHKLh3XaottUm
TQEn7ua1MeFYzcVMk9Z8TrOYAxFVVtFx/A6pQuQBbLkqJp0eaFBjtc67W7V2MzuYAbUVECyIaIpP
EbnmiJrYSmbDSZ+WaG8+PQzu9NFG2lMVBQfLoMPQTy9Or7p1qxe4i0H40dP9dzXyCTqZQSuuCQ04
lB4aw9rakz37bcSZ3+Z4zoEm8meGKPqKOGHEbb2NkZtUSZrypFSMWT+m2ip3S7nXCXz6TkZokdYc
J5zUnDcMiySoIWD56aTdu5JmSOw1qAYu/fKm7LF9IqwsUC6Az/LCuwoluhOl2bfMoJ1YA6wWGTxY
HOCVZqqNKEoNZ2OxhHNjB5IQpFYwxpSE++YwlSHxz1ZYt6W2aXV0FQzKOUSZOue7t3QeaovXceEG
zXmI4t2ECuYn7PbglgJ13ZYrHpyn3qS0bcvblNQfRkhaQnLC9PtET/3RKDluo/+Q5vwoJAUObzxo
efirBZkwiWQV2XwfRmV9JtK86mZCqqEUCmgUvDYuvd6vaGdv7JH4RV1TxqyCmI9sVK+1Vd1afcKX
USC7BgyQrB0NnyGPpiWGCDoD3TVkkwC6ZtHDixv5tPEF7NdelRskz69gSO6JPe9NSddw7oxPvQyb
9awqb21kMa2jqWJCKVvm6NL1NoWRNxfBdFyw3I4bTF8XiY1glkUz5gBqUkMOtdTk81DFnxj+jOfT
CEME69VwGCMGK9d9hv5p4xI/Xnt6dtNsm3F8RsbS2ht0uGwd5SUYidzMD41we75T7b0fTbVjoxaS
Ssj9LI0BOa0jgpZn3KVRHZPcygOB+4qnl2DK+FYN5iVkoIdJgPQ3BFBpgukal3W6jWUAEVZ3gq3W
8/mrYfjhgrrRqgyPtqM/FY3lRHGradeWR4M+GAx9W4cJFmYSXLOWAltkpBtXxhbzOZKuibKPA5Xd
EdePdg7ZL6jTn1UYbUrFDa3b73ah38OCgIRexcB1apdhM+BHT3c+jeUhpuLc9/m2DGk9dTawvtH7
gGt0HHJFxX9W2ZrTeX8U8Ix800W+NQM786uqeVaRtZnc6BC0BGWm9DSGw1Om0qPtaXLltcxlAytw
VyTFob0MJBNtq71F+nTRAiZrvTQZlIkom257TnRuYDXZj56Fbm+3KRTaWN71sfgIauO9E0TfKs94
NBVfiqzw9WQFOwNYatWS14ZkGQu/b6YXVZJqqKdDLuXTjLt6ict+XRUMjE0r44vo62LFFegtopaz
MrSW464G3aTmiKwmj5j+KL5HKv6GR0Z4qICVauf8nIOK6XUKBMhgIpxBxnvQioS7sSZMZUkAeWVk
hfCRSHci8J4yUbWnpm1PltT2MwkYfY7B5Gbuj5Ii2lAy+Zb9o1NVJMECGPc0HwL8FuDBnWHxKDOH
A4L9va1p2AAWj1ZW1R0E7TtkSxKZS2cvEulzrE0/i1i/tJ15kiOMes+FmJ/Gr0B79kbg/mq18XHW
3GHndOVV8GZdOwM0R9cNHguo4flEMEnWzU12IZd107x3Tk211EweuKhPNPVuLjgvdO+Ux4q8CMVD
NRDnNnb2mNz7VEd5san/oEskh6go36ZK/ZrzxSipLioZj7FGwKKantFjTqENpcETN0ORnbZ4c4iK
jH0U/pi06jmxSP4mSHR1mj/paYspoCFEcgAC8xteXYPfS3mhGIuj0DUMPMHs2ogJrmP0inq9s2Xx
4A04Rg3X/MzFkUYU7Ba2cdz7HeL7IPMj7cTdWJZbc/ZOI3kpvUpPoks3rW7dIZbe22DczRTNSsfY
TFO+m+ryHlP2beV4j8C7EJD3Y427ZGq1d1gA4KdobNbEhTgLX7Kct1OLOQFRblb9OgzkpiC5YAzI
HqG+iYEJEqR+GnPn7HScExoxYOKVJkqkeE1sDqGNF55dOV7N5XjGA/EaldPZahilyY6+qxotFNLZ
qlaJzcORgo6maCHrsa8r+Rxa5Wthzt/yQe7QxI9W235r7OJaT0zznVwHo/ngTfEnGTaf0x6upNNf
aJLD/By2MnMxGwes+l4Wm0SjCqwgZHveVqcVlBjkGFkWsEpk+cMmPrl1+qnYNG42bVUJZ86e5Ksz
5s/DkK2x5LbdlD8q3d1aHYQgR/Bw6fNDyy4y3hklWpprb0EQcVMRRbEKopytvdUWJFaSf8si45sm
EPsmodmbjls2MVNgN6a5dXgpOSl8ttR49JxxNxSuP3QtXJ+ePAe8YNSzbS69HRjERcUhtYzaZlNc
21RVv2nMeuM4wWsnrYeyzB9jwk+FkfTrpmkKfHK4QIltfB/sYkS6Gw/UzyH58PNccWTkda6hJkXF
CDel+FWRnoHMQkQqC7zraER3Q3c+7UZ+OuQg/XbgWJuHxWV5mrjkHvepo3Z1ZPsD9FFfT6mdcO9+
L8rySeTG1atKvvh8bWvGOrPmyrdt7zKJ5gCGl+LTrMENXjCt2vTgTP3dUPYVuA6Q8ZT8+u+p7r+a
W/eb++bPQ+rv2fIfE+z/S4OtIR0dKP3fN6X/22T7QJzkf7N2dxlv//i9f8y3bEvkGmWTogc40ZW8
91np8PcB17KRJTz0TfRYKSR/5d8GXPMvyy853rJJQ7cMye/6YxWLJf9iG8KVwpKk3l3bMf6bAVdH
hfpXjUrYunRsiGx8KZ5j/ssyFptvNYw6bkmjbN1d1KKm1AN9vjFpwEk7e8BwlKvGjoPuUtX38FhS
ygMgC6g3xuCHVfVeNeXFC3nq9GTvPf4l3i6KrTDvXeF8ZOb8YKbRZ6IAHqrcPvcqeQjTliyUVlIj
kjVBHS+t/AYsucz1g8oJlZNfP1YWx4wae5yaFBRjCaAhquSd59pCgfvkLs7Wlt58E4bi9R1Vu64n
64ZK/KFFTr2rJ9o7XsDEHXsf0dA3/oS2tbZBZFTtuJF5xg1SI5m2M6+Izg7DdVfqHiZZ91osRzWp
BZuGVyjimWOvU5dW6JghBY0gIcdSP+Z6+S1IMeZr61G5BVxC8Ro79vsIwth3usjZBBEZZGGWdLbJ
y/ujrkhNTvR7evvL4Z73qYtecjNrDkEEbMQaPG5pQUrScDtclhamwNwWSPipItHmDoz3YX+3U3mJ
CKojWtJg5UcCSoLTbUgQcU298cewMDroSoPtfOqZDlweOdRjEsiLoCInHSYnQn/u1kSvW/DrTde8
NGVn+E7ufQrHOIcDrJ0qLfCFybtNOnsaIL1i6BBnUqZN3Z/W08rgNWgZ9WsYjHcnak8VBqFvBkrb
hcjm60CqD56vnxyBaFbwvAztcxjhq7LixxsSUsNQnqboxjtgM+nyyRWDt8rpkPqeFZN8tR/tIn41
QvFADx4+RHGwQEXVAnfKqY0voDdEZu3CJw/dH8ta/eoqDm5pxcUbFQTsUpppoEkw07pNOsbutpGl
7ecVFALAg9YMAX1yZ9KgCfEEIqrWCRS8fTSFQwKFLNQELLsGeHAlgKIf08GxmbVcUo5ujIyv4mMy
u3CX0+Y2QnZfWY0JDNqoFp7/1mwmAvlycQA72p52f1M50NzO4JQ+huVahCYo8OxSyr7eFCOjpW04
G1gvXGBqR9iDor3duiCyBhxBoqFGV6aM9Tl2daQr8ej09XeOlcY6KcX3OcgZCqLSNy31DlpE34TF
vIScxdxDQwveKH85S+fFTyxxVQrDhzM3+B6OJxygYvAlzsGr3OAawtfz02x+TNuUdUwpIfTmwayD
bdKhKyd9dBlYmeE6GagDK9WWWUqS3ME5ZHkNkgg291hl2yJjBwCG9NGbyNLVdvCUG/ZXrtGzyKzq
fZjGd5EwoLtOSE5LQ63JkmTazjw34CtTT7K06BW8hX6yTN7nsJ9dWkbpvgXbjJUMrEM24YXXsj/V
gh/3mOtnnUPOV1C2yMLG+IsSOE5Gq+dY2HCiTa3SmfvZncAZ+Rs/Yj5G84cMu/NMfBtbbEhOQc1s
LuQLzWcCMmHJkGMf66Wequrk6nLPa+ZISh7CWmsFF+XAscIZxQTu1lFBGrR11QMwoZegYHYzJOkZ
IXDZ9cE5ZtAvmyR9K1V1mmLvgrEBBMDhqN6bPF+devhmBLy4fxNlTBAvsYASUMfxDW5wuALwgJ6D
5YoufzVbulYqw2YxeRxjcwpvQ+YW2qsunuKhB4A0ENHv6b6d6sKSWKtspoGX11WAl6QMb0NUOeSQ
cw36TdIQ8hcA14uCel1ysU37gnQQbaJaf0ZWoCpWLgsIZneTWOMpbiAp0n3A03AIenjdmO6E8noq
zzk18Sn7KuFAgdfa1N74MkYD3yHGr4/ycYgJuoThJzuODn3Zn0xWeAgneW31K2XgbpXXsv/WdsLZ
EEgMqXEOaKj9I0Iio7LQPrKW6keosQ8nF+qpcxeojKkdHK7vqR3ijZQ24O34SoIettGApVdE56RR
oPFqx8aT4rJBFYVgUz0Ll4UnQFgiBjZ91Q3FrnNyX4XJujeye2nyprFq/dzkzuNU5t9hTr20qXk2
l+9EEgcW+nfEir2jBZk/BMDZS875wAXyjLgJFmsUEpW0yhpuRWKhx1mSlmboJ617q5JolxfNqZXE
5TwZErot7thgNKlF/xMqm8l9VCeHJpmBm2WP0Sxp6ZXw6Z2+mV+U9aJcAOokQiFrwRs5zgGDIRpG
ttLRHB4wC/nil1z0KGCbx2YVrTWZndrOPbjufKBScEyaXm3jvDhPGRD7nldglhElHBcECPb6q+rp
WcZekK7Y7PArnGtq87xIeSPqvMWSWHvUsiGhGp9C0VP6i6Zj9IhKuUckNHxlJxM8PcaviccO6rBf
Ef7UW97qwaheGnxUX+Tpj1ZWsx/WPGWcPrz3s3XqWvfBCsaDww/Uj233PbCrb8gT14qj+ZC9GoPx
6klIdwKCDHnjitUg2YNonRPAiZIvdiw35iy+lxV2oVkk7zQbcSVj/lSr3oVae9GK5AhfDdk5UqTx
eLiIonjUvZqNAu2LoQ17W2Q/c/wjk708ZgRoxiEBEene1cy7yB8olaT8TB+gnII6j04DSLylSKQV
2g9tDrbCtBhc6PgomZxTYlRbVzO1VYjnbIwgAQnFHidZ0v1M7nrbn4yEhkGldRe9kwC3SU20pMpM
Z2dF3TYoACdGZknHzmqOVIWviNpEtbl1ic7WPugmXoZBu5EmiU0e8MZ61IyUv8QZWfgwvbROX21S
QzuKrN4TGDYQNup8ZaWWyVoqMudep33mcc40VLgvrlfvNEikBK8Ibkx6sR8sjQ6xGcCzSfBcM7kJ
rG5tDc5j1HH1dGQyMmg6VEaKqzeYORKgznHNxduLvJH8bL2XU3vUO7fcdohcg87bO9WHyxibn9RX
bsLpb2TSIJwP9tswWG8V0xcFUZfEPPR/6JHrMAXI2VveU18kGonn7Fthhi3gwOaYTTLa4MS9jmxc
CDK4XtDgD8XckxZkWB2TfIPWO27aFqGWZxWCYfS9y+31GLS3cCRDMi84KKmFxKCD/JtGBHNVO1xc
ic7mipldMG12gntKgypBRUnj+W7P+ifI3686VMhnbs4mMwlIamwgXZU2LG0JsNGIqm1ZVBOoInVm
Yc2D0jsQB0mMX9sdq0Bws7bzq3QNzYdk/iPIchJeU8L6jJrDK90ab87XQmOTT29TIuxIGd1AYOW+
zL1flVu+j/VwrtNqq9hNE09MsERFacKEiCsNg7fbqB2RAK4eb343LHak1JlgZUnYuQ8zWzLOLgWn
A5SDtyLMk3WrekIFtv3lMgDQyJ/PIo5YpaQT8TLjtNrBGzaOXjjor2UxuKhrAXVbVjatqkKFW6JO
/cGtEad44V8tyjGlllwDJpytsRBlRZjQfKIDzfnP9Nti3nb5sGutntpaIptzHjR76Ab0aZrGfnAs
gGJdwA6Tci9TPTklZf8V2haXuqtcP5eUoNyGKDAW65auBpCZJLqKknIcpStjk87OA5sRH0GJPuGz
wUtJ+l3EG9i03bXM5IEwEEJZUJNHspZNEmXxCB2f0JPXHoIcd8xZ6iJ5SURTS5qnhg0VEWsx127l
lBtQjpyz9BbJyP2sFeFr9lnx8TojNh+sLW0Q1qbsnVeX8K+LwFlN/Q/bIgcbi25jlu2DNT/bOpGp
sfPadVvrt7LjeQE9Zh2qydlqukb/bE4uII1vdQK2U+uDH5YjwW9bNv/NUi7MCaaPFkH7urp2nksj
Wpp0pmvEfw0a0arwuHRYV7EJQxALo0RjATn1KqPu0eJzRw42vL2msYirm7He63aOQM5nQE7J6WD/
FAgkLTkf9i9Qw7EveDP7rqVJMwl37xjFJWhJxzgjn1pA3Gst7Qkxq36wRvsnH8y+W1oMifNUKLIO
Zvg+6u6bzIkKjdUbAM/DpIDoGTinc8VF2oi23xjF8JgZ+RbjT220Qr+x6ebH3EEHibp6af8cShHt
S3tCmCmNvTI5uE12+o5RbO7KgV0VRQQBv/YANXdmvQ3a+hk+fbs2QvVcGITf9HEY100O5tUe2xcz
NZ/Y0zOfRFzuUtwVyq/qVmKw+pbow4OpxKbV8gsX99kuxRvt8ZvTsrdp1MHBZdtQaN+mmL2hhkf/
uoAxlcp4580mn+FgP1Dc3w+sTfNJMSjOPQ7t3CTds7aVHT+sh5AllI0hxvkpWYHTmsm7ZnEDJPSr
jILShOCB2DrRk5OMDOdogw0YHOyJxvwuMp60eS73Rt28l1nzvdMtbwtahdUciond+sDE7TepDXVM
6Ue7L76Gxn1LTWNni/LmmCwV4UMOWNqibqzIuHJ5YsO1LJthB1DCRrlArhvdfQ/D4MIuq3NVwAZy
5u6p9Kwtq3kyis/5JebR2dikeGTSX0x7fnNkQ48tYOEEinAy8e4P8Uidiqq/bMqtPZu7uqhdX+vC
rctAloYRfBvpPpLLHHcym3Z4/Tu7Zm+STWUwN/H+2JGyt1gURiN2/GgsltqMHbq4V1eXuquJqrI7
7DSrFmzl1MZbWpLRiic7yKM6/mQJArLuzMcGTeks66VXJsotFcuHkJ2t+JCXxLOILpfgc4eQmjer
XN44/48YWlF9UnpCxApTBcfhSiZqo7J+AZZ+1vDltgWOAjc/LHfPorw41jX+YzVdCdotU1rxFiUU
Or0uiHxHm8662ypGnGzr1h+t1X1qo/UiwrrfxHn0hS4HuR6ud8xYH2kmHfuZD2gS5MmaqxAxp8Kg
JeA9oyCwWmnaiiB9Tp3iV9xT22jVvOal/Suzg8tU9t7GRfDj/18Dq//uei64Puob6E3tmvfYp+Ha
gpg5VIg5qQ+ygNucxvkjmwD4BJy43w6Ly95XBq88xyoh0WgA8L0Fd13tUp0wHY+sjVnBhKgiHV6j
dm56DimxO236of0UQsc+y5JdIzhclQQiU8JZsZu8B9EMNgMzdVU4seWbpUM4yyD11lRU96V8LLP5
gTfrsDG6bMN/99OcwiP2k9iUGt5tpasvnslfk8z3Oe4q+TkK7X3bsRaki3ReupRFrLT4LMwF3cjK
BAoymLahyZs9sSvJsSZKt6mlc18PN5jZSP5d7EAeKjip9Z+8G6sjTQnONE39HkE68irn0evrH7rO
R9rRbVFDEK2LwXqftZ62XVdNfj91xbZUBpulQv0T7ugzC5CvPVdLM7cJbyvWf4yUYaLEKajjcmCD
M9pO9d6GSNNYTFnJUn4Qifqm91S7OSyv4RecsjQFrzo8z8p9rjNvn1q9uBjL1r+i/y4M+cumuUzJ
gJk3fxoHZIjQqNYjKkupLBZaVWse5IHfshrEYD4jh9pT4+poEEUdvfnEXrbQvami/yFt/uCShCfA
HLke5/oj9KD2KnVtuiXqSoP0pY76hzTvD3TAAuYj86uT2pNseYCHEs/dsopvrC/D0QnX8CDeQ8X9
G9Z4W4KlC0ha82nK8hv7As69ldxVpXf+VPUPjezOqceNEBjVe6MFl37kRghHmxyBqB+mRv+Z1HYN
E6lzceeSl2GokDRsl+Bux2cP44pgQrivJBAVu/6pAu1uVfGT6bDiqdEoLCkGpHB4lk5vcfe4DDd9
xRnLGPqPtAawYlby0VJy4IdJxZ980Tmx2tOyb2C00oeU6m3aGylbqUrz8P+5eG6i+pGS+s/i+VP3
C/5k8s8Lz//4Pf9YXi7JfPHMFJZD6I7g118lc/EXGC8eaTH+h1qNfE7w62+SOSvtSdYIRGWL2Njv
r+Fvkrn+F4+NFMIjLU3K7L+VzAV/yT+lOh0h2ILu6kCShO4gqMtFUf+nTFgIzxutlENSN5BclvDT
ks7ktdRgQ7ukBC7sNdNJA2AIuo32GlHZXNO70FlizKYyfGsr4PxlDpzXUtd9FGme7kYXVKFhOu5D
2pbjVnpN8tbxstvStvxm2SnvDafZsFHhFHskJ6IeOGSHr6M8M9k5CQmqXsj6MEod8B+p/pFQNLM2
fq011ChTCcstyANv6Lj2fjB4uKkhRlLavsILu4JGYxvvVE90XMdkW49FilLIEqF0OeFjGqzsAawR
fFacrSH4NYDFZ9xvX6KQLXAhzz/LxWwiV7Jlos5R/tlo0VnkEFLHw5cb3ZL6DhKBATHXqaOdnLH4
7J6anuD5Wy2Biq64Gzr9cA9ECDM5pTRKe4wHaXjIlf2rpeVJwIWXe2xoF4ndWbMhDgr8NopA1kXF
D9UnH6z+QXhTGyqOHIeSGCnfWosxf8++ghW7g/Pvc+7km7ob3vC5P7MiCdf0rP8vq9Bt988b7pdL
hMgi5g0BRK5Ww/mXRd4syQMHPvMhJE1Gz1DX8LzDpLLOjPH6MaFq60dDKXjpTQcDXOGWObc/J0lq
csal0dL1BfU2kw+BeeoDQ1huB1E89AzKt1zC+9mZZmLtaSvOz70kGK4INpCdCF39c5omD8ZJmt1i
4RXAE2l/SYTVYywX32SgmtjyKn2OJGCkKTiWQ1s/dp7aBgi3qAfGKRg6Nv6OtRbfoib1boQAtZVr
SADnbt1gSKrwEg3dWnjOOh2jLYLti2U0ZOSaxQe2g/agwSIGM7XUmPDjt6lW3RvAZLtaUtWvyRex
F+Cee9NdEV5gQ1/MH5btMehLUjG5vq7RBwuNl3eaB+tkiGAlVd4beeGColZyq1xSwrUXsTuKKxsl
O2QVwvxgJwx7JAIPLTG+XEeeVvpOmOGX0lx6tBFLFnXs2mSO0bucgztluzZmw4RwcpsKrfsuRMCx
Ykj/h7szWY4cybLsr5T0HiEKBaAAFr2xATYb53EDIekk5nnG1/dBZGZlRGZWiaRIL7p6FRIRTncn
zUzx9N17z30ZdIJpVZNRSeP671DqLp2jX4SDy4PXvQZHbd7AT+T6G7ntml9cbvQWukKIT+k8DdZb
VYT1VpJeIlJ1jIL6iw88/ebBfZmGV4M2N/Iq/bfkI4zpEvdC5hwTt8fVaQIGZ/H+XkirXIFXgoHh
FJTS8/EEjJJjogANPidbDqhhlbsLGSJlh9hxC+Yw5fPjVu+TgOuSGm8WZsEt9RVyZZQs5GdOpGyp
O63D6gS5/UyP4iODHAB6mklUBsNO8GoEihJAYy7YEMFZZSVi4d6b0Pe/SV8Sw1LqMJoUfhDKX9d2
cZkn+ygCi0szpp0y7F8ozHqnwfJgjcRUVMBtbfEYNjfs4LCX+u1rYgQfnP2Hyldfnd8b696tHmKH
PRsL59cwgr5NmIkWW6grINeR7bWbRPwi+fxmuvCPq7a6VkN8r6nkG6Q6OZXcea1M5qYsJj4XtqiA
lbYcVlKfoZuCtlPaaZjyS2G64H6D9WhW2zKND5MVPBT0xZzmrHnoWlms65ZUDubtlROZCBQUg6MW
721cDisDqhSuwwU4dj/m3Bi0Lj+PWXKMxwp038xiDH2CLYl1FFDl6KMgP4sHbltXzYNjDvXGpC1l
SPVgbY1NuY14m2IkTNMNTQwV8zIsYGYWteHjyRkfT7eB5mOLtWdsk5V6AkEICM9IKs8GsLnAqZkR
DS4oU0bfnZGqjRhq3D1kjOyMFsy+5xpUDybEL8JDosECOEDQY2qSr6Yrio2hcWhMlKP6Uv/Ci/OS
uPCuTawm0OP7zWAUP0Myfjd6+1Hq001X1B2HfFww+fe7uLFQ6trhvgCyLS3bQ5IJSc8WGDcYpFd4
unXiuOBNSjEx/eV292j58Co6Pdi0EztgYh7mETb0g8rHnc7zEyheeaTcCShJPds7jkMfvY6fPBiu
nCy6vKuX+KgVGpSIlk+gzd/tjEfvhAtO08UzHCaL+Iy5VX11NBUfYdcoIVfgq8GWw5LSvcxiMgA6
qdu2BGWlabBL43D4QAo7D8J5pz7nqLHChDhG9bLZJ+RrNR0zdsi4XlXf1hgw0lodzYuBpP4IWhKn
bsyZYdtAT5BV6FG7av3IKICoMsd0ZArtXncSb+jTr8Dh0DYYXLs8p1M4ecaL8zTVxaI4Ijyg4FTY
ucdWPiubz3E9QiBkf/OK3/uhr0mKInyC2IGXXvc0kEaJy46QC4VPWapFmD436d+IOa1je1icrYDI
2zIbNlqATqF1fLgdP75Rox2sQR4HMMuDLXMKoE8sijKBPKBPxZPZO/hOo695nC5idu5DDNPWlGBY
CmAhJDJTXNescfh289Jfp1CEKAULNq4i6GfY1ieOgrOLaTHLmqNhwQJhqceNMdceC0M89cWIftzZ
K9H/Gtv8k4OdEWAmJNIxbK+aTHq6FhGtndmYlFxjNrNVNWtGdBZwWmxyglL9W6gW4SqCFqdXzZOM
eMkGCqvoy5vWZYUVAATmjYRTzy1O3wuH+oIilD/kRylKgnMVKYKZtkYVC2ANd6kArxYsEZ2f0I16
FopQF6EZi7CzF+SNTekk52MCTJNVJ882Z7jV6hGTXfGuJf0h86kGxbC8TVyCg7Pds5oxNkMfIzqb
HnuzhSqTcglBpa+zfdBIYmgG3vYcVBfetK+aZsdV2zg/luq+qliC1tHFh4VlIiaEYwXNNem7vQ0s
b9uL8jFNgBESZFUnpzFYFTXkgZc9Q06zw0r4LJW76uKWJQlIwDYRUhMCuYtTsO22RDEwUgX1RuMv
vCr64VC4Uv4OtZoBi88zXIWoMolTtScKF85R3O4j2KYVDBQ/0THHwndmc4iLzeLSz1WagGb+ycBr
rdgg+LRA4RfQGh9dWdVfo7IfReucsAqvOyo/+zS/nSD/SKdAnHJdQB7QmTPlvggLuuY0PUoTD0YL
CEJGcqexoFBt/2jb4lXHlFxCfgarYz1VU3jAx/k0KvIJlQasYtBqc5OzZMh88zSnKaQOkLN9HN31
kf/oZDkbn0A9iczwpEp+4jhkC6XfYRBbxk7UnoizxI0xPajmUbkDdDZF0N2xpp2+ZKZrkxbQYKzn
jcMMRCsMAbeRikS9BhA7KCpLxntIYns7Rr1C5/mV5dUJ996LnGGn6aNz6w/tAeubWhmT+gkHWAaG
FZ27cEq3VW2eVE14JFfGrzgh0Kdup6pe6rs48lAgFrafyx6tDo+lI1/tqj4V+Jk9xw0F79X8WS8m
PGGKnilpXmurY2oPxImfzkUQu2VuqiFR40fOF5Ry0bwoxN+V0E3PF/Z9H8QftQxuQBN7ju7vQj7w
MONbY81M9aAtN4ZpFmzruETwARy3ejLQnuTqzUbZbXM7cOFQQx3cu7VxqpVWH5zlVjK5WoLVovH4
+Gx10alVtNxfDC4y03KjoQvF87niJFCDvaAQ1nMZDaOnLzcht+fykfgFBWNck/oqYTmlCw2KrzVb
F/bdFBcVTiBppOKGxUX/WZutfKctbSPCHtRlWG5kdCE20CeRCzUH1DJP+DZN9nzFdcogqihf56Od
bEhdnHK7eup0VN8ZonNVHKfl1ICi8DEIwacpj0Ga4ZknFrEYpKMohIRuFoV8y5viY0gKOj946EFD
rgLv398S/E9y0Gk2d3Tb0A1JJPK/XgW8fDftf7wVdfJPKbE//QZ/D4u5yDaY1CyDexW0+78tBjT5
m86ftqTFuIZwH1V/Cou5RMuUy23EFcJw+V9/WwyQI9NdW9m20qUhsOX/O146U/Hn/2ExYJk2M6tj
uqa0pYly5/zDYqDXkxHwk4FiNnCHbwOHtXOpm88FggjzAo8Vg8JHSPDJVwAs29PKsTuEI53jrJjp
XtHTA0RYfCHSz6BpwYKbUj+5MyD1TPFSkKfR5dmZR10xtPoGZXYNX5ByeMLPPRZLpKKjQqSvNKBR
uKCquPEgaeZe3kaXKDTwlhIwczRnqXL2ECM931Ttrp0WSCkPYWqvT6xy05Wci7somJ9KxWpZN7iR
VF33IZr+UcwN2wRRn4ighlsEKqSS4XnCeN+yTF9HU0vXVPWRjTUMPsf64bK+sbPgqukjhKrC0yb9
1GrpN36bvSrglM5mvK99UEIVO2R4XuVmHhw6ljASt1Tjdj6LQ1hFuA/b8n1o3RMs2s8i6R8zZ2lC
Du8dGZN61yg6SIJleCqsF03Vd7MsudTCAYedt8mm4lesT5i5DRBJwG2e+GoQeTiAn0OukfjFwLFG
/V1qAKiKoumZN9SnNhReq1hh6nl037fxdnLHbQC9qqDjbtXiWFHxDVL+maN46TEcP5oKFNrosE8M
C/DNjYXzBB3dCr3EnPSzNfhk4Dr/HcD/VWe56MCBwgZ61hji4Bqxf7SWRSROTA6R8c0WlLeMy7Zy
ZhCA9sAKM1t2mayVQMtXe7dLH2jouI+j8rtk+WnM2i7u/HKlSL+vwymE6y2dj1Q6t2ZAf5oe083C
K/htLHvVctmwUjZ727JyRQN9tZyxB9sxnEeWspFpdcRgknvL1c5RXt5RS3rSlz0uYCwGg2W3O+T1
q2DZm2cGRg6LKHXNRgWjpgbJ1P7Sfl8T68OhYW+MpTV5ciy6YCU75ZDd8sSOmT4gY5NVEz0lIeWY
7KFZ8bz47KXL0owoom7VpsjwZndpv+nYYkcWVjBqbjYV++3Wyi7FXG+mZfENeuYhQu0D+33h4/6j
syGXDvsh2xKXkljkCkfNY1eyJ6+xXbBgD3WG+UYmH8mMMbBdtvDKyg9hztpY9ifAa1sS9ZD2ls29
ywq/XXb5A0t9AeQRgtNj10/vbr6YPaOi8Ho3nRjm0ASKyHiNF5WANhG6QaR5S3n1L7jqN3ygefgU
r9OiMEBUUEfie8+IL56xqBAt5QxmIrYT2kSJt8dAcfeaOuXCswgY4SJlEFBr1+Uib5DzfnetAfMV
23vPxhfLGYEcYmZRtbYpLcPC+AUzlBIQZxJbSKEH6hS/fbx9HAV43NFaEt26adFemgl9PeASTZes
Zq67RaIBR6fB6EhebYlDg+/+ahrZTVSo53RgXI2zmQEmpH5chAjgAWH0gaXDogq5LQP8ohNR54G5
tz5CSEJBGvVyPSyq0pAsusuiNNWL5jRqKPCLvAUf/6AwGq3NnrnEwSTq5zgUrGwbLQJWE/pbDUWr
TexnF4WLbLm7zdG8ZGb+WIHYGB0fuAxVTJjxY7/IZMUimPVieWW6DN+cWdxrhvHqhswMY9Ddycl6
pyAN832Fg8pV8RkP4C4J034bTNZTh1DnWG8sJAnj5xES0cR+QSECLdpehMiHDyRg5J1up0X/K00i
hcBW7LU+lFwqFp3Q1J33kHcNrClCO/ptiqCoKg56UJ6UsS9qo0R27Bf9sV+UyKSWbHMSddHqxOOR
cDX7wpOLesnN4IxgHxCs0ENPU8F7uGid2aJ6ZllOQzdPQfRY8A0kkvUj6j+VRiVAxyqJebUaPyVd
VWs9zq+wO1AT8BTN/U2aTTfOpP3KIPWkoxbtdd0BV9ssc95kPPB7HjD/QElVyRX871dfNVueqxSv
TM/aVF5AIJA5on420+FJ84Y0ZsMhsSHDa4ehh6UxZinQXAffJK7r4hjgbTCshaW948Gixd4A49Zo
wGfYMBbUY2anyRJ3RcZ4WXE9r6zp026cwhsH/RpzW9nilOrXUTs/UXa9ELOaV4ys+9Tt+2Ob6Dds
wWiyttDjhiX3XOphvfh/cN1MdLAWfsw7wXW4HGNkpHboQ07Nq70EhnXol7Qpas2tCNHE+yWnZ5TQ
RSSTxMZJck54TB/7scs/w3g+mGl3DhfFzpRW5tE6xWvU8oWFE+qrBiPYymzoWBDkqA5mB4CiGctx
W43Ota6rh39/SvxXQYwlyfGfSYz/R+ABfx/wmMf+6wnxXOS/ivyPWtGfvvAvk+GiC5nE8wWCp2VZ
NsSA/5wMBSMeIAG28OAKbMO2XSbSv2lGOrAAaei2qyS2VtP5Q8xC/w0N3DEcRk0mOh0R6m+whD+B
HILv4q///h95ly2t223zv/+X+Q+aEaMh8BSL7llUAcW0qZw/a0aWkgXnVjSwBnO/cDqSu5USzHHD
pS9xL5R0fZRZgNNZ0dxWTmP5ewnnarZB3TLX4ZKa9oavXsycIiCAAC9OZ+yqMHrQUXWLxa1ENm1c
pUK9dXRv8Bx2rW280D1TWCEhtQWbqVGcjJj9M1rj9ao+65TcrOiSLUB3ypMyHG2bCVi3BhfFyI9p
wUp9zzDsYxjajEhDfWYzgvu4/JqN7lWfxuEcuH689WuNgyWfBsIZ6M2u/qQc7T1yWR53Uf8YVjHL
Se1cju5mYhsM7JiHxUwQI6f8yknhaVvGqG8MP/aswoLXjCVozeb2wZw4Z4nHbM0w+VH9osyWxQfA
jgzkQXpITeiMuQtwku0bzkNLAbsc8PSZvgZc1X+C0/sTwv/ww+KObRLGM1wirjPaEORYB2fOg6YG
uRGWOPM0AKgIpzhizS4tfT/Y1g0FG++pYbwLbbpE/oDd0i2/bWO4aMK5t5YzLGburSmbKq09Ka6n
lOQ0V/WJdUIzNGs/Kw+BOSE2OAhbME3IWLd66TVTj0XAFatCNgzbmaTDsDqHdn6PanCcUnMX6tN7
FIN+D2MWRU044sAB8WoOBM9bK3mzyhxrEldYbHavLk58pDF0Eq396Mg1z26wE9ikG4X3uUH/INqt
l2c3qs31pAz/zm4G9A47vDXd/CPs9BlbCbcTBVV5lVt42MjTE36nk/2hyC18kKzS/Z4hJM3Kt9w2
P3zKPMv4m5j685znwktDDseSn+je6sBTUkJ70ZjN0UzojG6ehaz3bklYM450bx5/qloc8d/eQGfA
Hm7LKz5nsSaGtImt+dgP8+O0KJJuV7AqcOr42FbOoc7ja5tSmgI+bKtYitMTTH4a8yrpAXc0UE2m
z7ow6YXvql1rovQXM/waZ740bmh7nS1fyB+6W2S2tQQ2+tRRB7Ty49zadHQfH7UO4mTfGBRiV+a4
LYzZ9oIcRXEyqtALFrdONNyXdLlsDLvAFsGPbDLSz7IrvzVH/oxRwJKO/gQjz/c8+052VJ4aazGE
DuyL6+TJj8pNneF4URGPWi1ed4W4i4AqnyfwSkwNJBMTEPpUF0MTsYN3H29049c3U5tfVZ+nlC/3
324jhh2w47shps/NDm17k5k9ZuRGbTMbgkdZk2ENmTYBnvXDfV4vOGbqdwBRYt2cbX4GbNY+zJLC
aYoxcDrWVJePGjmGDOCXJ3pQmWEVYf9qyFEm92lZv9Yukm1b1LSFJjMTG03ZsHroHIuQEAQB2nzx
meCdXWmpceV2wnw4FxQfux0BA0IDHe+rEjcqbfDBAewLWpHlrw1R3lK/84sadbkiWPVhq37Yqoic
B8boZ72mRygMnruOX09l0okHabiLiFKXI+mPCOTiqqg5UKpZ99qEAY9vymGMowayJB2mlWCD83zy
emnzn137oBU2Y3kKY7Bq9UcJX3Mlavtkpkjaw0TbvRGdJhRQjtBGHBg0F+8xi3Oa0Z643O8TxyZV
3zwPkbuh5/kKPjU8pYH76gvtV9kZQLKL6K3jCr0bhLlXrTJWWZ/9aMzZ6JdHlxY6vZ/bjd4PV+A4
z0XXXbNUMRTUwjmokqWcb80R+kpwmxoh7DIXqbcR0N57MWovU4+AUVU73W5gX0TqaKkY0MOIb69B
hwQ/StrfmPAZFeTzsKaJaj0WDZEyyZgSNv61KsPXPF08TzjDd5FLNzI+5jcoze+6ivytEy5eeriQ
sMSohfLxFWos6FaN4a6lnDegyeoSfV7CcTT1xa0kCTobhbsrHes8ZM2LRDwpU+tOJvWjG6OQssHf
VXK4tK19Y9Rue/3/d/LB7GL+t+nShyL7rpvv9o9Tz1+/6K+bMPmbJCQHWkwqe5kplnHjLxYZzfjN
MdiS8U5G5zJsof/BIqP/xq9URJKorHCIljCE/G0TJn5zpFCmsJThLoOQ+e+MOwsU6U/QJK7XNg4c
gUXHQvJc/v8fDDI8Laos6wO5aifzHtvmdSQbxE4k2ZsFyJ4/zIP/Yrb6l38YtwbWjUxRrAX//IdR
8aY49AFuGBrU3AHtEC7+vCodegysWv3ljcaA/K8nueXH94/fG95IvjnTUIwexoJ8+8P3ljREiKgs
RPIoJ6790/w8YJoDk/+7swc1I6vSY5hWpofEo7gUQ9acG7B3kwMR5b//1nnZ/ulvo3QuFrhiTd4R
jLd//tv0Ye2YRTqz/w8m7PvRviTQAtII159Do6lg/xUSNp0N8oIdJXYJd1FONl174/3BJmeM7nxZ
fLq49YCH2D9Cc95S6b9xZ74ZkqXat6gRa+CLCIfb7NSg2/cMm3VjvRe0VpGx7LZKcw+4BY5my2kS
W87Z/aK5IKBIpDGih4b6z6RMHwzOrUNfAXiJKgAw/DqgKIPz2or8sIgDke7vh2Y6jH3oHDrALlhx
W/Z5HRk5GRI/rgY6ZYrIfta6+ihgXe+cXHNvIsLLG9rUd3Xb31mZ+aqFWbEV+fQzyPKQx+VeIrGv
at3e5BPLNXeuuGTLd8YBSN9wbT0x+zD9u0isu3T+FdEZjzmlW1lli0Mw1uKNAdEJ9a/kOYklWBRf
wGvR+AJ71ebgt2jQ+XYyk0LogKQWh/Eh66ZNhYd63WT8DImI72yTWy1YcC+LzYMRtd+VsK1NlvIt
1fH0kNt+sR6K+oeyWoGJQXkLgBJc5K6WM+ozxqo5Tp8oYcYBzHKVmhwMDBpy3aUx5U0yK08t6CDo
0x0vclMF6tTl2j5wEH9Mh5K6IIpWIF/3TmK9UMhzIrjGxQsgQNmW2toqBHmigFzbtKccwOtHg8L7
xD7mkU55a4jPmwzhFCTDhfZcfPeRYw17124+mhAs7kRjGEDBaK2Z1m1ujzccUFck6H2dDh8iIHvj
VJGPA6q4DjaOTVfoKxEm7jZd8DgOWPWgB01kVV/l4FxcXAFpkN9ZWlViShc3vMeJThvD7UzMck3G
hj/fdz+DuH4PNAHySgPQnDtQHVtVVgfsWPM2k+RC3TggM6IHv9oOC343Dp4Zj3tYbzdM7fIC0+3U
1s2rZdPBpcNMV6NzhLH60udFcPXDelybiiC05gbUT9jmvdGzmaUc+Z3FHVmf/Kz66KSZ8e1cyV0/
jwCk5+kuqHzsL05wHItk3WY9DIiI5JiW0sBgxGrjOOQpB05uWsEQ7SO3GC99kCwk9jsXXMc60uty
X2QVLVUZdi+0YEHeYKWxFpuD7CXsYT1mWMbZtBATom2F4PSOOpCPaLS2bTNQIWnu5vaXmUFUSSn1
ozLCiJxrFAdE3jZCdqe6bydscPFtkPuvftQf43Lc92b3FIWgXBPfRzM2L7PvjCebG/k2EGiGlcnG
mqZ426xux1n/UoHjDfVwNdhgbWIdun4ApKciaAkqKroz8Ahs8T1+ZByVVK2TKAnK9t52dJ3VkPYr
WWrO66UAo7Zomsl9gEzJLqEHhk50cvDtFO3k2HtWOvzkTRptWz/7UTE8J7uwFr2eSCsdyZ+yllfy
oR2sVNhFPiNkQx2p22CXGaBzuzipPDnHW/bqBGes6rlsiB4Tvv/oobJTz5xuuhgHMry2IKPWOQ+H
U231R2mGHguCaVu5xqYtC9AeE5XLweDlHVi8zMVPMyc9J2cFtyixEdMrbg/belFZxs6gdM7YFVG4
B/pxn2vOjZTcBSpOWXk/161XYSJd5a1B86R28gWwsUp+5FVzimV/wCyIn1l7SLtiN9N8GIf1TR2V
dzkra3tK7xdtFLsd3KWC1RTmodp6hC59Uv6HbINdUI37iHtFiNWb/iTisISDAoi31VGPirdRu7pl
j1kBiX52X/QcSFjPJMlbjr1fJ5pPJ4xedPGikzSlF/jkGqeipRVGCq9TdCYYj8hTB18ax7mIuUo3
SKs8+8g26o2AAISVvUO1Wr5kBB3cLRUEtQ2RVHpRNdCdl2WfLHPlChXqMcY7Tkv4KuRBGlIuw00u
EZtiGi5drO+IN3tlO91ZAf+U2ge3hl3TUOU9O3FJjMWAHpjW3zbGOs+Pm12h7F8BAcCJHu8J1Q9j
q3ZLAPW+yLqNCzcw5hMHdrFCvmCPGv1uhT1qPM2n9lPZRHDs+CFE6xCNvhmANHDiFvsikocBuM6c
yDtjyLeTAf9L7rVSPcfxi1U+VXn0lI6PrftY43Ir7TfSipvKxIyffnILW1kc5mN5q7WspKk2C/k0
gGIhwfukSCSw7x5/5YW5Dork0k1oDo5zcCn+2tpsO/JgOlQiYVSfVjlL0igrPOKPvP0GaoV0FQbH
jMKRkXqUDjBSQTHTUHBHExywd/WMN0Rus8bfoaTs2/SAWRQiobIg31AelzgYYEL9brFCUXnXree0
PESSM1vkBJYD6BeB9pBnS/yPfBDJo954HI3mSOngJTcgTbQoUb1pYhQ+sbA96P7ZLN7qyF6V8dPg
Poeg3UL4TbW4KPEh4htb3M0oWxNgi4kjyiCpqVflySkf3SJ+iJZ6rHzA+Ndj1MLAXBP6/oK2IWsP
VAOdtGeLH54Z2V6lYRK+nXva8eaX0X6hTPCoh+WpdBAcqaDANEnBtngclOZZOFyT1tiImjw22F5I
wIDk9DsQ0RuigWnQoX48Df5r09qeM+cJzGh1MoOrRSMDOIsV2xhSjPvEuLdhseWSzovEPbd1+rhc
aJPsEtvpJrTfwjE+jnW8kx0WvSK/N8myFlV88tFk0uqZjRNmztEDRAgbot+HBAzhTjyXdGNafXUz
Rb1XOWfcYsTgdT548sJOZWWISy/Fbc1pWbaY1woYYeFFm98LF6OePwD/oJQlg+d5TDVsSIncs9gz
kLT60lmDYMFuTfQhmXBVQjEJkp3ZvIbEtjjDpZjvrWXHl3VUBFQjjYzlIJ/zyHxsx8XhmAGMTJYw
cFgTsO30rQ2ZAQ9PtA2Smq5YGmFoRNaq/lRm7WeSYVZxXEj+8+9qDD/AV831O0ChNoDhLuwffOHq
W6cb6m2Wg6HWoENuwwa2U46dj1JqrOeUqo6exqX6xL699GRv/ciOjAodYvWhN3rtoPOe24Onh2HH
AEGhkjTCcV8DQ78fnUzsMRzZ3tjQwmrXYAKrkhcyt3CRESf0aaQVbPoWtNxUOCPbuQzamI+nc+QH
Qc6XtltdfkMbn7e13alnRuMFeckjZATZs83wPcfKTvYhH5dTw9ONCm/jpY6TL79AfE0sLFk9dXa6
ycneKJ2HeE2SCPdeQ1saOsUZxMZlsrtbvZpOrYlIYDQdNZYx9jJ2NMzeNjs4bAB0/FH3khA0Hir+
WqUSP1rZnCoTf6OVZ/exjaUxmnWoIlGtv0jqVqBwuNXeSrD4uU5CJ6vCw4iPiD6kovKvNvtbtlX9
Nre0wgswSTJH1OZN1VnZc9yQIl/+wnA3MZV6iIn07XTSvgkGlixDVWk7M1b0IcWChFH+QQHgr3ie
bxoZ6/jKACvQK8M3n5ivzMD+CrfEpcz8pyidn/SwwagPzztPUjB3bcn6S2EOVTmJNTYqCWPsupOh
R1ExIUa5LxHD92HkNFsp743QflF2Vr2xkeYOQqEf+zxOxPxaqfmMbuvFUX518+4OqPUvuG8XMNF3
Yz0pYuA+BvtelbfAKnIqhYFMSns6OVpAhCulMA+K01UGUByyPD0HQQXIgTIQQHvo+zZDZpNdsjoB
+4dBdygMk4nT0rauk3/UVk0BSYJQlFfiNHCJGCfV7Jr5GvNJX1mm5rVFLk9AIl+SGveXopl4LfyJ
aYmsYX2GClN6Vh7Pr/WAw9BFsaQjW9tlOQh3QaHVGkjeUflpu+NWaeyjIrxxW3GHz/ZzyiIehTNB
SumOd26ufzXFvNfohD/Z0qGpc6QlOu1c4BOR6OEEV9kipFsYJOE6CoV42VcKW6I9vdYG4noiCPyZ
JQz4xibW3gWvZtM/mH6mrdmSfsscBzGARXPf0NcF58+9Tv4c7ekmfdUrUjFJIL4KYDILtOQM1x/n
oz+q1djatLNoLD/Bs5zQMkA89c1ONNbD3Gb1+v/OQuiPStj/KNg2nkfB7f+/Vspuxp+i/vVPRqq/
ft1fF0eseVgJEaJif0EaQCwBqr8ujvTfbDxUi7uK7Ip0QJL9XSfDXqUc03bJh5p0cbl/0slM/l3Y
hIv/sjn6txZH+qKD/Xl1ZJmQyHBrCYWO5/zD6ghSGiFoHT8QmYeRPWjsbpHvxMoYe+hLIQED7u33
dQ7Z1PCLzdQ6nukbn5ldbWvVnZ3WOFglj62adgq/cai1tWHRm/pT4fsTXlhK1rQs4JDT2wujEp1z
kvOV8szlMCLoMMVwjKnwe00a99IWzjFo8k9mvW3TZCMRD8fCsFAOu3qsQVou1cW03PYM8pityT8X
/sdkcA8o6YLBDU0px8yIwny38tP4o9Cx2xu1tk9l8lpkcQvFd/jOuJKAuMV2FbndZxKkXqLpWF71
fQjkdzXTVb1KLPdrrsS7E8aHpDC/mkTrvaLPzo6yV7MLhCWZYGgrjPU1FyHFmt1zEFwmv6+9uLda
1LECK2fvnrOq+GI2W4tpYExLLzKoQjRB7VENfb41ZPpcyhatOk5fUxxY67nuf/Vl9JpSE7XSjZxB
EoYphzXZrKJ8c7vopKjHWdmifEv96SWQMSqG0g6JYIefjTp1wjXn55DSd1cE4SXsspOFjyOow4+4
j7/nseQ3TuElLOb2eUH3d9Z09bNh6agcbuoRAQvsiqfb4yFBaNnYc3SftNpPWCWHUceOaxt5u+61
8JYK2luVxyzI3YJRZZYvZjt/cul/Lp2SBPHsbxq3pQuJ5+YqCVnLVUJ++vT6lq79YUvtPuQ3ROfj
+sAeIAlxWVd9eo2K9pnN6rNtE3Mbo4Y9uD9FRxA+82Y08KAkc2ttzIgWvMrquYkWQfs0x8lltLI7
fLbnvmoPmNQxG7RcE0oiMJOK1kELJMHu+FVAHszJufO5wGOqIm5b1c9kf22gb+EuMBuA7BkDKi/1
SgAltgPyFy1CgMEFNizmTV07Fzsvd7nkfqglCbo6bxungBpZTuJJs6ezVPqNr6QXNzpBKTeh43qZ
rbordpabtMtJnQ3FxW3zOwH3PLTyRzjabINAlmoT+A60nzf46+NgPA1T8DlpKTzkhqv80plVanuK
GQnu6UiOlk/g0cr5rM6FQhwNrq7GfSKkkHrKdBrsFzHToG+qDsNNK0sPOwT8tNG9tU22Q6bvPza6
tcBna+GZFns20mXFdurpF4uC0xhSo2lCWsEOlfDx0fbSWQrcLcyDehDdUpfNBoMK4ziA6NXYCC6W
D7bIr8v2zdBpTTV68xcmqI2I48rLuSAx68NPh31wW1YuFKlYMOsvyANBC2pRnPygOYBhOicZTdmm
SC6Wj/ON2sZWqs9yzncmUaDN1AXvQW3wpM3LJ6xyLO7Sqoc4YPPKCcb9nI+QXWQz1jx6V0ztBm/C
K6LXu5KkG8su2rW+vs5a3sQt/Iq8PFkY8lNBpIEi7Z1TuBcHpS7r3K05Dd7kdyHgCspzq8n9JBXL
9i/O5N4HWnNtpXtqxoLycyk3Cgn8Iw6j+U0qqHe6uk4OjXohVRd0SRHTVPW2Gpwdab6I3Pv47E99
cxLjyL2Sviknjy8wG2BR9z6YxihV9LWAzMEojVjVZdROCQoBe/oKWTVjvdz0fQg7ZAQfmS5FUaax
kjpIpWk8Sr+8Ml0Hu7J0z0KL7iks/gAzRCVYM9y5Wuls43TeC8j1+v8h70yWI0eyZPtFKAEMhmnr
80gnnYOT3EA4BeZ5MuDr30HUK8msrK5uqWVLL7uzghEk4YZrelWPogrSfhk9iiE1D/ShEMBDFgzc
aReH7LwnWPK72A2evcE9dqO1Y1LqFk1JaZrWtZ/skNlF4k6rG4i3ltOemjELiJZVBcykcleOuHpa
4vMhF8JQfNJfd9+2fPjy0Nk1LqeX1Yb3GZFCEkJb6fX7qGY8NFuuYH4zfglqCKG9RCbFrsMrHiBo
Wa36GAzPXfZV+aVjrN3Xpm5RYzgaX6nJpUn2XbNGBVeAF0xrD9s7W08lE7qt0WbaGxd+C1dcITwW
fC46I9/Y/virSpOtGZRnswu2Bpl+1ykfyrg4kDNdVlO8kUqtPTnuKqfcx7QXAK/GF5sDoWupMcgt
9SIn6LPomFc1Ok+18E95K5e2Vex82i9J4WjbvGyfLT35oFxxg3Vwj+OP+bqU56qEZxtxg+4B1xH0
n2JuuYE8xlb3UNYtsfwISq2m+eOqq6x6bXd1sLfSOPqiCzw8VoIEverbC2z4cm866dwBTSUz1gaz
2vIIwwxTurcLwvl679NahNjKdh8PWQbJqkq7/RSkb52pEGYydtqo/tQ8BRUI3LnzFZSJFeW7kM5a
3zPqO4+J6L4g2bIsqZL5MBK6icxMUsqeJu5Gc2z75PdD+cpN7SZH7I6tFn7nnmrogxhSGgf6yHoR
TblPRPOQxG679nHfbV2W2qXjP/Fw4TLxBFt4KN5tQWokiN/yln/lYH7QMflaQ830S6K7/Wh82w2Y
m8wnDtdJx6dxonnOsuyN1r/TCKSXimOb+l/5zgsJkaHk/gTyd6Hs4M425U0p02FK1qJj3tHtQ2Ew
9t2uCS+4CJedqn6G3+bJDnKE0jp72eTGxYltMjymgjSmdSTnCjxnoq1Osk0+cpXsS025yEJIj5HI
340E/1AzYYauhxKsk2gOdTXhXTVXpll8SG+OgoYy3kxNF+8HRad2mLPd8JGTRQZT0a25N8ueWjU/
PXleiOyk05JSz2Vu/aidlW1+xGXxQ4e1sUwSHAd5lGbsQthksEIB2AV1exGMyZvvaXDrSlXuqgz9
utPr4ibC9El2XEMi4dJU5mmvMkR1NTIrPwU+2H+n6FjSNNpReNMp4s3eF1D0qXTGRdJRtmviFX6v
NfS7sNwMYGKDZlz0fbBNJSJbadMG0FarwPbuu6i7NKU4DE60Yd32naTtHTYQXmKyp2s2CJd21INp
Cbady6ymk+lFzqZ3JEuOfTE9CqUf6gzPRNufPGrj/4ddn+H9y2QMusBmaWtKNAp3BhT/efHYR8oZ
MPtTMD0fFyD7fCob41ulynYr8HSRmYGZblrpD1DNEzw2nFbUXm8iwTtMDNW5sCyUYjNdtK5zz08J
9wQsy3WZQLr808Xjv1jJ/l47/vMUzyrZwwElBbAE9tP//G+N0QkMcpaUAraQfjRC+v3geju7Glmf
OBqCW4ukWrdRtJK/D4R0PhtGDgmMKExbcYClQm/MNU2pyXUI6DZu6DNzwgeMgAs/FxOhTTDrIzdY
jbi8YyUvuJZtXv98+GrBiyXuVlL0N1rqrlUq2wfXy98oL1+z9/hWdv7TlMBs4AD8D78ma97//vVb
F8CZPct0DFuIv1xgHADEfUIhGap7CsPy94kCirWF/co5M4zcfwHp3mjGKl+nRNmnhh0uGgsHlJiP
KtBwzUc5H1/+fJBp85HWtu7K5owzJAmPSesuIRUvLP+RaXrAO356V2KDW5FbOCOgEqLWO1jKdPua
pasIJGDUbTU2vKXH/q6qxA7aG3Qfl4yGHjIhCOnPZYfpQ16WDVHZrF25VjFujM4/NIrWvjxtj0kS
PvUkUwm7Cx0e+RDuuTVQtTsEe6NwvFXh6NnDf36L/98UexLe7xv1v7+kP4bcif71jv73P/aHuYNr
OGoTzlPD4Jb+xx3d/NtscAV+gqeCW7eYHRz/8LKKv82kCVAUrDe5dOo8eP8wd4i/mbotHFdwrbcw
htj/yR3d+dcnXNclX98hbGXKfzmIar+NQpXVEpda8AU4gVFSdWu9HDZTxKaJ68bBoWxu1ZLcY6VF
FwteoSjAGJYE02M1NOfGKX5EEh9SWetb7gEcyCQwLU4zS6ZfFbUzYBCS9SjtXTHxPEPyL5cFlZ13
TUIM0wvsh95X4+OgzA+yBXtal9npS9MCg6ltciMZ0RH9fAksCYheVwmKBcU9q3xkzkx+RrXYexqp
FCf0VrZVf6vUnjZ9XcxmU3uL5/bTbod1qosXI3JOEUzQNlGELDz9GPjQBozI+GixTq5Hjl3h+zt4
C9yH5CmT+CrryCy3SaLXv6yeqbwg7B3wSpaauapTBlq9wuHlBv3lvz90SZr9y9FjmoZl8NTosG4M
5y9vCOH1hq2QRxZ+S1e6YbAsEg0sAMWOnAtI/xo4hb6dYmsXgfFuOo/uUos1R8ASaOwoiUQkXhdJ
XK1GHyiGg9hZBFm1603SNbLOsPLgY2xlCYNJP5SxTytVARN52vVFcMV2NFC4km0nvzw3YQytky1g
6RYjajcACIa5Y+oGJ9nZcwHiE4uDQxymq7nTnNDQkygJDPjRtmiCPe68fYai20j/qie+eVdZA+6D
5jWrYnenjd6BSM280aDfJ7a+nbg46qm2qrXZE4rhYOHBcnhOrK2Hvd9hfbEYtXJTcFH1SMRfU8fZ
drhVl5NIxrX063Oq+aCfgXvgFt0bGvXGnfFmgAsYA++BwPHFdsh2DKFLaWtCmVjqkVR2860RS1bY
JnfnpB7fUjv7ZTXqg3oed1U2DklRoW687z4pOoMOzDGeacaDrQ0SLEP4FYxE/ivWblk0bEgcjfOu
urovDXGJdJ8vE1VrPy6vk+7wM59Jk1rdX6qkiha81K8pDHXKh66ejYtWDYB9QsuK127pcCszh2lD
uJbeGSoyMNFCeyD82m74Pqp9LgWQ/cBe9zwFy4zk1qJyyDjUdXVvJzlXbT+ktrOr3mTq7IoRtGKU
Oic9JdYucBe2eYZ3g8s97S5jtB4d974d+UsLAZkgqetk1+tNsYqxia25F7lLYIPZBZXG39DDxvpo
kBAEa2qYShq1V6rChV1zy+VtRGAa1S5oqBsaoHiEBXNf1zJxxqVsz5WjWK07I9O8bjw1wURjWfHO
WqAhH+RXT4p/4nKsGZD4Bu6g3e1Zeu+1DPcHUs5yyOcfXWRv9Tq5S/z6xRTWXaLJi56APQo97RtM
+c60E67JWgzGVz9RtYdok0/uijTRRxpkd3XIHXJC1iHCWCpFjlK+ssrc6lnGh8Zj5TL05jaygkMB
ObEgGdMUtQC3juMZ00iK2OCatzHH7MuMWZMug8+AsZgyhOMYUsweTN336DmPTWsHS1tLdjnoy7rU
btRsc3LU+S1i+JoXcSz0BBclkBMvfIrffOW03E1KsaG+j261cjz7WfAUFfncnkZakqdhmH5ZdVIy
mfFDrPkrlnin4JcHMKjt5IbV5sNM5KXoIy4x3TOj/1r56g6tX5zKlqR9NGHYDzNbLVtb30VDcDAy
HfCIeM6dxFjGrUv+1TBvokRKYEmRXjPW1dwPZGbsKghOKwJ02m60Wbhjz6DkwEAw5QP1lHn5E6uA
R0C6EbFr91bbeMio1lgJ3GW9PzWwhCHMSy2EaUy/lw1/0p+IJRTONRvouykomvfTI47uYCnr6C2Q
bbQCln2aUn5M9FvsRiHOwO5PjgFlkEaZhdG4wGna6aY7Np4vIhNrREfUOIekE9F9zLcHesBAh1o/
vuq33aQzpJZQWGK+Yj9ufdt7MXHPrCJrGFZjPbFEJzAbNPFLgc8ugD98EO3waQOEWpqgSGLFZq2z
q0M/NkQAIGJZfvThWKgV8Iae01Z+meb0lXnGFoH8wa2JhTgB5uEBvIal9PyCRInflnY4Fna80/jK
oEfz6qU13XhBzutY2W/x3CPH/At7NvYAtigKzDnMOcODtaGoyx4A8vtakD2lYXIKXesR9e9iDEjV
Jq9joIkgC5RhlytFvRLE93Jb4FGrhp7fJe3C94HgDZ3V2MzKX5PpPHgVB+PU0+qRlbyO/cE4hXrw
MrKQM1PKeRRSJRAp6uVUl+40dFY2eD2RAHc11NZLmUP3MMc7s4XWP8SY9BB3Ll4gnxI72XLDfZFu
f4HH/ZJp/ctgeu+449g0KkntWxZ9crtuF3Xf98dETNYiKkHrVLrH0WeiI1NbSEVdmTwnWvPTTXaD
4NPcYDD2GxRQfSkG766T+pMzVI9BqkXrvog+86CFsC6dTU5zBTvC6pdjoj+kc2KF+AaiL4Ykto8S
xQhsylLXB5JmVnYAubb1ahgCcy9448+/okAibbN5mEmjNHpiDaCyV1/UTnhJ7O5O88Yv/IgYAFB5
PXyKSy8xv4LCOkDbk6s2jnmOs+pYB5yZHrQboWtcYe1HiamG9+y+UwCuOlLTS7N2Dk6Tvuu6gnlv
imZpiWLdBex4Ba2UbqntIQ3/UtJFhzJ/Il1DmPSdNS2Va29qfxUG2kJqtZ+mgROoCwBu9KdOeRfZ
yO8ApAsysf+GVLK38Bg5pEMXTsmZFhGyHYgtlhE8VBElgG596jlVvTULtH3eezAkLjGa7IJCnPnW
QsY3sK5hXG9cSPRdGq9hplxKM9iqXtxMrf6SKSK5njt3yUQ1W2fv/FHDkoFvZGjgYRqISrZ4HLPs
p0rnCsvJpJJUa75lnV+zpn6mLE9DaOueghDlq1Mnr/BPzQBMdnTsu4wnnNDWUbbxXaFrD1FFFQBB
97MkerHJCh4oelCKdQ6hepGa7c2KK4mTRftVzRNVWJWfsY/Xx8YeqrB40TRJpNPodlFi4lmMPjIn
eANPC883dfptVA9HTVUPjd69kFnfYIskIpR0uAHmOTWeJ9a60mCUK3/TzdNsn5gA7vtqjx3zgyXq
+Ogy+uqWeCuihiqnAIY2BwlEjyr+RbYkfugSmrY9FheljxAKf8mOp/uwLdYM1lwLy1Pp6XcpoO39
qKbnei7QcJlN7QhAsqt+YgdvSG7BzDJGyuP8tq+eAn7nR7cu3jExMVZENlWJVuSt68x8oxUeU0LI
561zqc/mUiC2Q2bhirOd/aiFH/QjAEOuxnHLQ830E4t7SuQeNHCpy7Hob0Dkb26TUhGiPN61qnkk
iX8l4u+f4yh4H216GMiy7vqkgXpAAKx36kMbsHvqZrAY1xB7NRUm1TLVvrRwfDYOv6IpgMIRZ1jf
2i7elTGGojCzvIs1sA/XLBcamCAkFIAgmBRzvv9Etobw5jSBMCHQpnznYQL+bPKtNEq8NH3HiaMd
7RzjAM2FY5OemYzPqVP/yAwWnzEdw5nlxaDyBljUYALgDRRShGOpFnw8lsNJbhTMGDipK/QMhPK0
V5SVZs/WoLHfGMtdW/tbTbaEakP/ntKzxzBkaESswdbKbGTF2sIYmBFLhuler26DHuwdX0SQ8+zX
sYyuDNzozsU1mnh/ItausMbTPktbgkChV039NBrEcFX/pmfaB89kviGejozCrLQJAJwevcbBX4XY
7I3MNyXlNfHIg96mO1HVhPb8gREVRyu/LvdNtDW7/EzgYXPCr07AaNKzzv2pWv1cVxQUSDmYSzpc
V6El7kbBqeKqJ35WOpxf8aFCSIDu6Fz0CY+h4RovErltQeBn41lYvhGw4Hq5T1bpwX6iPLb3MPng
WbLEyW+pBXCoGV8QcDoDksH+NETo9T7bwc6h4zimkmNK8H03Qt9xNn34U/gE8d1cxoNXrcjmxwsr
GU9x2XwOqVynGs2+1vANnTpaeRnbQerijn4THWIvOHtavlFGe8qC+mJn1q0ugNsG5Jq7QT8MGiar
gUkbrtyLLIYNcfXgP5eVCFpaeDvIHRjA1P5yt8tVSTvMxGhVd1xZit4+l51kGzamEPuZsfoup8Q2
nnfLrYvNvj5LHQNcFjjeoWj87zHo8TRWr1pQEYT2/VU/v8VESVpNE3OSuaIXxSQy19TZj9eSjERm
go/xUHrmNs4oeEU32lcsBAPKh/zeeAzldNKy/onItwl2SsO/rMItDa8Cxbp7jBKgTr5buUt2e1tm
0t3Q8wOD90nNiCdvkjUMgJKWqNI8//XzJKjmmRBmskaMgTnxv78fz/6Fvyhz5iyezkBOHZnQ+Iso
SWtBwBHCIN4opS0E+xGmhC5esRl+Q3K9d2P9TotjbUd+q14BBjqrcVD/17vyeBcaVMb9e8nrjtTC
X3G/f/8zf9e78J0ARSKgPQtKc+aaR/vvlhT9b4ZlUhGBW4XkNE/97Bb5k9wFYUigKhBp+s30/bPc
ZVmm6emknTzB7fc/kbuQT+YGvD8k3VnmwpJuwTLSqenR+ar89z9FfgzfJUxQZpSmedGjNyZ7jy2X
AiJZxMGNUC246vqkIqSLmTZpxXTT5n3w2XAPZf1B5wHDUrLgxXHFffNgT3Qb2W6La5Kitiy8HwBc
akHqLft0vql7NlJs/NpLTMIcVY+ZrjPZFO0vxup9CjizaYbXtuZFoHnNBfDGMuNN2NLzOoLcDKLs
vQj7m9bRtdQ4FjYP59BP1Zke4GlJS/XZ7r7pVliJ6eJx/uUTBB80aaysQMrnTrxo61Gx2szAO4wk
0Q90sbXVYuHm5deH0F8juKaauUyjq5S3bOzQAN4jden9jxAi2Bi9iOpuii4lYLs2fMP1QZcn/WUw
zNvqkNGkPeVQNmniqOxwgyQBmKvYQjPcmbl51ThUSH14UNb70DjbSC+t1uPwxN5SBMs+qjmQu0NC
sqIcqGSyWO2Pd4nAV1ns+2Dc6vpNDI/ahDe6+RIz9XTIjo6XU2ShPQ5JeDWMeo01BXkLnJ9Z0raR
LKGhnaFEPRHiZ6hHz87x+eUtbbPhtBi4FzZ0ZGczaxUoHECk8KI6KKTcm4tyF5oGUonDdw5douzW
hRas6AV0bC4YkTkTJBjmIRw22aWkVsFu/F3vyHU55sdi+Owk8idkMtdhRT21R5yIvGjDxwrcuFdp
PHPcAfiLC+KrTX5fl2qpi2BDWGdpm+SYDXXl5YBTyljnabcO+3sKmNiwgn9i7b20w1tdPpbG1QM9
68rhmWjx0huci+DAHwuK5Xv5mOj6fZQ3RzdqX0ZGQp31b4Jq6sT3yVid9L46OHGDzDMd8AXuNEsQ
J8EcUeY7GYudLukRE6SDy5mF23R9Ra6qWei0C5Rz3XGk7TKpLhIY9VRqa+lSP0vzYesa5xiwrqr0
TWsGF8Y73MjBS5HaA4FudozDeEgoyiEOtRBjeTXj7mhX5HFMi2+uOsf6lSzO1uyPlJQfU6d8mWZp
te/GPZuxXV0fQuNSmD8YeNirdvVGetWm5/UNhuanGYNtTuGaVll7Sldgbmk4uzK+B5ogw+di5DFe
NS7WaU3RMpJ9cxQxDfZ0IxnbQt2FCkAidFB/pOgu7NYlrTHZ+OU3GZ9FH0NwyDY1l1iYgmBGf676
8j1tVkp/4er2DMhqn9UKcQythlj3VLWPGaRj19CYadrolvcu8oLuH3rS3aQe15UD+bgPmXoAGQ+Q
BTUuWfoCdrXHVczrgPWShBIWYWOoyoarnTr9w9RT2tmnJSMmLu6D6OIj+FaKtmesMF6sde3qa73S
gw3wWHoBdQHJE+uu1ORrFiXOIoJl1AgSTdtBvtFKsaRHm57ioyJdRxSKGqvAF2+lntNDs6bLDJPQ
l6STgyhGDAAGvtATN/Rbp38O4Smk+cK6axlAKM6dn+hnX3nniCvWttdQqaxv0VGZgo+5bbyfoWj2
FajhkNrFctBOQY8+3zlGthTYPXat9tDwkYgmDjD6LaaVbWOezm1imKXb4WEL6Eqe+CNsUgh+TzoV
K0m8yyy0o07T3oyC+yW+ofHGU48SOmUxBSAKQ0RSeD89J8I3XnvHXNpTQHavgQyN7mFPOn9/wqes
ybyBpB4NT47I174/YYx2AsC+vKsOSRpigeHfEm5KytxZKOfV4G2YgrAG2hhnYmMoVgEBlpXu+rfA
DFfK6+/63t5mSvOxn8PQTcqvruhRSrJsXXWUGRPXOzTmeI+zHqGxL9aMgGvma9TSfKeDSMAlbF+V
o+QypAy4De17sCH1YiL7vpCYvTIPkznejU1pAXrQa4gmS8dHLB0q/9lxYp7+iapuQ9YQdbxyatA1
wgdGonLj2G1O/1wFgcm7CxntRPxBxTcT+paih7IndTAecp5ZpX23OMC1bGcTAAqT97LjulBiFtTo
BGLxT0C3xyhWiAfRAy7y3ox0G6hLpiMN64vYRAWTDxGfNbbYMW+mLhru4mCHZ9iuqY+AJQ57sUhp
g6NbHtpOqp8s51MXO6P/BFKPLEq5dwynxP+Jqa8tQcAaMC2r4n1UnAOtLXeUmdwBH9X4ZMh4ooRS
rWXWvnZZ+84TMYBAo97cbSmLHKngxhOxyeE9mJNx77P63/P0vmiFeh9QWsysvA0TlZPu2kzZdATD
RYjGoP9v0khaectUUYbuIzOsTGwkqyyXHikCEjJNBC6BiCju+W0XajdoE3dNnJ+dUf+pNOjIo0bF
ipNKuj6y6KMtOVFB1a9TYGkEAkLSqllJS0rPHps3duo0K6s/T2gjIX0cllnv6/6TGwOviPplCN6t
hm6hYVigBm5NQJYcSeaAVAGH1l/RxGh31GRtM0NbOKG10nTkYHuLI2HN7yGlIZu0QIyZNPO0bOG6
2mbwrn3LJa/4DKUOxxZ2tc3GRc/yDy82z4PCKGZe6KPZgsJYZf1PMF788kGFzWYoi0PA+6Kyk7VW
OWsoBMuW8IxIiZ+BkOb/HZPQizGc8Tzgstx7/aWdqnXS/5rUV9O/UmN20YmyJU9p8cI+5GD63jqy
bfjr1asacDIJgIcHL3zCBv3c62+0mQHaoZmufvDxsNimtgwE9bHjuEuNYpEVOoq4XHlGDvQUY1z4
7dPlJ7FQob/SnKCujhYcRXgOctj6wK1ZuegAL2rzIKeIuAEJhJZ7aXCnV0dDnmu+qLS2Gt8oLBb9
5BdXm4JUbHJLzrGFVayr7JGOVrpWWbIBpGDxzm7q1Hs6J1a6hOCB1hEv+7pbuBpc3dYgfQyyjiHI
iO+6lrBHpZFbPHYCqIP/rVs/c8bK4Hz2mPR6eGCJcaAcpqP8IIQK0W54eZ28FDrhpD5k9WtqGVbT
rR8darRMgzqUcbx3iic5l891+Vqzf1egLTcedbdDhcEEA6+KkG2Tp6KmdVJsinshr+lnXj6FrxCA
KSdzgrVr3aKeoPayFGtbnIQ3A9mSZdiANKYpwinPkbkdebmkjbuydKA+nAPILCuTgFLJ2KqYwIhl
HF1WrZkNHQikcMgpVSfpwfCnpQ+k0DmK6N6LDzqpbiwx0YmWVtfeoU5O3caO77LxzpJnAxjKEB0T
+x7sGUzsA5w0uugcMsFcNOt+Zdf6siy157b9ZXfqlrH2dPs7HJ8rjbMiJadrP0n3g4qsVWb+TO3S
7vpTbzAAH/rio8hhrNvAY5ZCbGy+v5ag1phu2PMgmC3aAR9yf02mbTL/6nF45vk3HYyLUR0nCcD2
TLgpdVfEXpwZRfaamd9Bd57MnQFfHBC+DureD0gegY+ksLI6BOW1CD7S5q6rKWsjDDxsfe7skVy7
YOvM/SCXaY/RZ1+iLMpFUj5TeZjHB6LBiaDRi12aLSPwdPS2YhNptWX8lQwfHWXH/dHEy9Q/2nKt
12SF7EXur6t2NYbPiTrk9UfXsy18tFlaGQsIOBqlUM8uWmCxlI+jtU1ovoxfzOaxtTcabH2y8yF1
bPz7Ty6+1poordkNvChNxqkUwHOKVAUqRcgvKHAbsL4HafqcDUW1qgl2N/AyTSaKddYSrhXQUl2S
aDajo8ajMA2w7KwoY+yT9WPKhF4U9EaHlZIbc0zWIh7WlqaNBASwTYYkEB8Yz286b1dcdDC101xb
RWlz9bp4G7qYc1pnx3NWbnr6GhaBX10d4OrM/sYmMH+7R8nb+23X4Pcqg2elq6fUlxDsBn7tsVuj
dDv4VDHJ4/ZL1RIy6VoFeryYQmKxJFa7LHtiCmbC7YFlmd2zCEgQUnBwYlH1rpViOZjGqUjnBgLZ
bgv6I+2Ips7abWA4uB8ZIBbk8Y+eVli7HH9p9nhHVySDANZsr6ouDXgxsn4SlkuCRZGYz80okeq8
nAvFlJSsugaeCYcqQAqsmOiJO/uB/pB67VXDOS5d9lPEnegbMBIXvI1+MpGHNvEIcKdpgBrOa5Oq
YqpPtKR8CyJVMcjVHzGZvZXO7m8vOgJBFPxVixnQLFX7RXDrRhFG8xAmg7W2rdbfpjU5zTTonyBG
3xKc74u2NORKyvjAvOvyQnF2Q1J8hYyLjMrXPMhXbmnCn+Lv653qzvpN2W9QTfPM3pUyh/yElXGZ
+Mkvd+4pK9goLgJjPJag03D6jg+x479h4fbXU4LhMxf6IcggD8L8h+H8wYKmXjYldQCN7d5r8652
YvWfz5UBal7YxdFP2/CjZP452OjyjkXNwFSPL2ruHVDs+Qc/e0+r+lnSTEDsvWSdLh8G+jbWWUV9
QTwXGbg1lQZ5xFYmTwBYKOoOCLXvktr5TLWEOvAqJFSuBm6PqfbTya57KsKmBlBlIte1qllGDGar
Yi5YiOs83Bp0LuShvaNJ5l4XNAaatDJ4Qf0y9U2wLShsYEPyEXjTD+UVv3qDidEY+Um60r+zjeQm
GvmlKH8AfkqhSUnXxhC3p27OkyUGrhwm76dqII/ZzT0SpkWdTTN3S0xDfYZ7BcjAQ/NVFd+/2eOk
mTspBOUUTSFPWmk/T3NvhebPaxSqLIq508Kc2y0qnTB6pCUVsw+Uxt/KeduO5brIUM0h/e1c30CB
ozQDt0GF+hDSpqvM53CinX1u2FAZJbQ8fwyBycGnhGNqdI0rEq1kbhMf7LmsA9WaLffc4VEOHMtA
GX/5Bm3xdGU8UhxnHH+LWjM68Q8yDOzEPwfI/vJ//q/Kkxm6oROcQlH799LdtWvTj/z7zxyiP/7Y
/3er6X8jLGYi0tFyhOvIBaP4D/1Om6FCGNj4b5YwXDgj/xQpw4oGX9HAMSf5b6h+f9jVELr5iqac
6YyucP8T/c75TeT5Q76b0YsQIHWyjqhrMyLoL/IdpXFaXNlqmkGKG4pElTGtBtIY5JcXbXUhgI7U
kibnwtlMtbPyYtLqTFsMTCxIQkXh1sbuvwrzmLUOYtJ+hGxWYK8o2LJo6UeTAcstaS9P3x2x50tR
tZ0OLJPuVXyM2RxG9AHSuTM015gHFrEIlj9+evL2TA4ZrpNoxdSz6XrqoIpPC1qpUhAWvK0hwqUn
uTYV/EXJk4WHdBqzZQvrZu4rbrkb56TNKWugtZ1tScTFKOalRSPOgxNhDjUJoldqDaxE0ABLhxg0
FI1/ijt8pB3lf6eoeOrCg5m/Qcnpfa6NamtUB294LcYnGqD5npAVvFtcXGkn3BSq3bo1hULOGy87
rnhv/RiuRuFuSFw9uGSD+ATufXY1PYl/u/o00VJ66+pOcpFji/HdR0DVq4xmzxJeYx6/D4H5phGM
AsKBCkWpFFOJHfYrl/eaoX3bfEMNlmFXPOTjl863GGBAMVnzufFW6tw6mDhzcl3FTO61LsLETwEm
beTNmkCcazFaTPywS+i+5WSvdZQnzh8STCuT94TFjO0mAlM+HesbGjWOGZKnwwUQe/527Po91Nh7
NIy15qiz0H8CNSduabZQm6rPNwn3pbS6QuU+WAUmga/Qi+k5ekPxLWoukP174FyFCxIifdQFshoo
aM0kiuGsITEh/4aE69wlAZ41nHdKtY/zhJ157j1tl9Q+E0eunPdk/GaHtRp4LAcsvRn3wMygWAFb
0pDcu0XznCZvZlhu+/S158pe9TylRPRlYby3+smx4CxPTPIJpOmRfig9PBvJp+Z+tPZHYePk9eDH
F8USOyC1bQTHo/kXvRlcHrzZLUXozmCfVTZ8Wjx6NLuIHw/hZ4vysDveCbArAd2yUjf5X9mMU3Zk
k+DGEtS3LxAjLngBlgPWqDZ5F8Vj4Oj3nsGFBiuzKSiEjm8B6gA6gNuA7MOY85JWx6Agu6iGsxJY
zCp/Z6vwzFlOqQ5JJkp9dj7v2JFfdYiObGUOfS4dk09E6E/AZaefLDdvKXUvfRfupHyjbmbFK5/U
3rNOThPRBNaPf0dnzpkCKOV3XN3NZFPG44kEXlBFG9BMqJCO+dWaa9EQL+I+H1djzM0+e/Om9NuS
+Z4t/Cru5blx6d7hCkmuemFn+WaMq11TlxsVZsigX9pUPw+MNYng+aAtRQWzLtSix2WbscQJKSB7
hM+SHrg08z6N0FxGOooWftOydMEIRasa1T3six21PCfQ20QXGrH0FOVGZXznq5y5vkFXcK49wzeL
gG00CwEFVm+t2dVBt+v43ZkjjzLJVPglG00JbpZ69jaa6rswokNXxFuvMB+AP/7ywK2oeHrhXTv3
EX4VVUsQy8g+JprbGQGhCGS8fxuOFkVSlDtbFvQHfgKvcLZfp1mx8VjvFVbZrJg/52zsqR8LAFpx
8iKxCbkqXKVp9kRRDghIY/yyRi5j3PfoC6A5uF/KYYdTZG2j32sy6uf46i6r0y9vdtD2QbWLDHfP
LLun/WSePvZG4/UEmkCnIiRAgnfSO2+C2lGLczaZ9/mE1ZIhlc9/9jGI8tW3P7GvdM62D4keXZsg
gSX0BRgdHI7PPtrgfjpcEqR1SHILq/lVOnTe/ASxWI5NBjVrZ7CDiIP7WF1ZorppvEK3yuNX7/9x
dybLkatnkn2X3kOGHzMWvQkg5pkRDJKxgTE5YJ5nPH0fSFWt2+qqhZbdZpKuma5lJjMC+Af/3I/r
Ww3QTsgIWU1+QuNr9Bk1K96Kuhi3VQ3H1J6lIKD6Qq2DWv+EIoBPEQLDbXnQiK68jtZOLZMFZSiu
gWEhtl5s7V1rz4l6L6LbVL5liasxcbe3kfhEavl7ucuoOKZRvPiFeDMVda13n4MyLTLNW5HCckLl
FsFwtTU641XINvxHXdr8qVrzVmOZrLu1l26B9JbePc3PtgnF34ZLCyV+0STfZS5ptFWMH21YUjVM
i5zhGFWI5PVS8k1lyQ0f6sIA+GWX6oa4AgaCguZ57YC3IipYs9X+iaV2V9NTEQt+84nhPFaMcR8U
8nsQD8tYQAsuWtcgVcq7waUAIYh+vh4ApsdAng9TXM0WTIKPiIe0mGGm0rtlCq80rIs1meAV1M5V
r2kXHVgMd92FqSQvI3WPIF7fENXdSvUglLGWFqlKwhbdZHCxhzumDza0qLcsmYzECUUY31Ye3Zks
LkWh73A4HxsJCzS6TB9o+9bL7uHAlZOktWlkEDbk5YRuGTOTS81iproszOQ8dICNXoViEdGjmCN5
T3X2Gytlev/qE2sioMgHUSS14yMDKBgIoZU3yk9pUe7AKcAHF9yWb/aI+vgZN2yBCOGYyD37CgR7
PWCoqo+c1hd6cBW4Xoruac4hVip6cT1r1jPpb+Q2Mvu3J8kalK+VsRmIz8Q5pSFsIsZRbrEmydUa
DHMm3m0QpCOjIy96dipVUTZ6716pGLXYRwEuoj4Y5P/U8JBQt1sZNnO7S867oSWvuXTw2ks6AWGk
6Crx70o1+0pDCrYfcm9S6wYdhn7T6FUfd4CE0vEljz49fBo6CqjpV2xNbCnashwfnnztVLoKmre0
mKD3/1L3TVQ7oLfitVBPPa0lpfxNnsDFC+n0UHC190K2KB40F178rK0Tkw6z4fp5m0HMhIYhfF07
aTnVTI9ynKYfMjuVaePH2RQydaRPm3PDqEP1JYSKb59n4WXSAhiCk0s7hNuwxJCdagCm9sqnSmVh
dlLsu1eteMiWUx8uTcaNqf8pN5uivZcSIXO/WMaEXjXPuqvBowt+bEHDFsitPPtJ62z3718+/ivw
+18vK/9P3U5MDRKpRfLkv7+cuD90oP71avK/f81/3EyUv1mWYWD3AHihc3L6p7FA0v5mQECFMWGR
mACjOv9J/2ksAPzOHUaxtb+TLjDd/PNiIv9NkQUceRm7/D/4qf8GE37O6vzFVjDfS4RqAbswuZII
2k9m28FfbQXojpJRKLP+bhkLObP3ccPMgDNBVJLOFFX8B/LmN7wemfnPQMZareBLC7b30ukYlS2S
Rt6rhOI6IDg+MDOn7mnMS9IeI3G/j+nqzBo44ZO/xga6m5Lm3DfZOhQqYGx8gibQVL+VP/zSR2wu
81MYmuvBwDpUaVtKurkCgcj8y3d0+ce1668kfC6Z/7cPh+AaKSbBf0kSiX+xMhW1Qe1wb8EsRZTl
2Nl+98q8lg/KKmBIvq2TCsM3y3IO4JZzr8dqKg0ooyU3F5PDpjRiMRIZYLpWAZ+uM+NQjYy1ovMY
EjeesSPQDHNeG6udkTJ6D4ySHTuTrhLISWlSn7ZvjUzNIljFWDalHJo7yoPZkELSuJax8vpUlIRS
Cb0JC3Gkdxejwk41xPorN0h7seYEs0uDY2suW135MnDecbUBtlMb61gN2RHzQ4T1tcS8bgSMla1A
ZyooLoNccm6rwViN5iWuQ1y1LAxK7R/AB7qBkR71IFsbfvvmy+mSCnO8ajTSrXqv/FYItphwBElP
jrnb+DkGi64nGGXt6p7lGM4+dJ+VSHMQ3d5TEtgPZ7BEnyMnE+hLMOBh/MZtcJUj+dKkI5uMnK/q
tDh6VnRNPPW3bIoMe7fi6prAVDiuiCG7dTitYkR7qx8lHq0aCYmvkGsFWYm5dFX2G/ZvGz6iQSpH
9tWTIvobmQZXY4Rjt9JON3OiD3S+dcA1jezRiOAmn4bJOnDtXBopVD6QZPuolhsHbefTr7Jdmc0T
vhh6HddJzAiz9V8v+n1pZTwfwYuB6ONgnPxjB/650PutTkWTiUNN7bHcerqCloyei0adGea6tzhw
mGqFyitWZl2fMfxc6fDMDh4a36LX9F8PLpXrDzGHK6YrnJx6/L4X1WfUJlN3NetIPCSChmA4ZuG6
K01QFNUXESfp2qjTq0q1LeUFYLO1PjOX5US+W6o0fad1WGwN/6B2I887XMgu+Bg7a93qHPaNMLh6
aqjtkZ/RtG2wgjQbJXl0Ab8xbrsG/wii1z6w0bMEtMfJ0F6HKDkoMXswBop7rmcanBBgSqYdqssW
4Nz7QH0hsdjSv+LwwZ/eV9zmJXU4tGqivcYVBA3PHF7i2ZJeGMplpPT0BLhzfOZlVaxVrbeWAZgO
J+0UUvoFrwkOBJCTdKQ2hD+wzgl8x1Fw6CbCOySzmSDNzqDIq1lUxLLptF8FNsNCNIAGJzl5bTm8
QjDGtDqobJ2hp35JRfibaRW05jbeBRPj+ZTiHM3Agxfk+qnE6b7AS1YtmwKyis7IwC1MarwDc8+t
0x3mIcPEm2yChrULKDLApCx1hmRlD4s+LIWpMfN07N7NHIvTBOitGUg12dbBDzKLo4r8VWg+ZeW5
RHQEjFXUmKdmBluhRXPNTHvyRnn4m8bxymwZlvp5c4Pz8Y5VduRxzHHf2gWTTsBZHB/fzUii+WeG
askcohdK7mlrPreU3ramA2PJMtN7tQ2AkJN9FMn1voHWVYzjlwq9S54xXhBwCKJk9h9ifNcwxgD1
d+RX3DTk2YsdhBVelhSuWuqpnI/t91EC8IatHXJY0ovxXZ1pYmbYVQfxd8SYOdPGkpk7JqzurZ1J
ZCRAVuHQh7z/6nKcYWWAJL/BAMj7ShR/uqZPGVqDdpsRZ0ajj87QxzclLE5TI76ZcPCqpkdr5qKp
NdUSnmUugxmZZqUHdc66ocWdpMyDKExMzlEyJl4zcc0QVea0Rp9c40Lmx4ipLPBEd5VBteHF/LZA
t0lZcvJBuRlcxiM1OXErYHGLUifkhGea0N80MHCq8pJAaFiWClex2V5a4L1ujXBVK63kWCKzXcUk
yGbUnIXl9szthXD1MO8hU/6bpOG9BEkHyOEoz4y6JqmfVaBy9oO0FMGFWNR1/Bzz6ij7JeZhUHc6
zDtmG9I66MHgtS1APH1G46GuJKvGmHl5cQ06r8Lm8CCWpJ2DGayXz4g9m/qnJU/k+zjj9zoJWV8i
yUlqD9WANY6h7gzsEzO6Tx408RbMOL9uZBQhyvYWpVzVKvpDFlVSMwwdmiXFYGdC40SxDMvnZgsv
MJoRkHQ2MUE108hRwAoWgnl+IOHlj/rBWLWWOcsI3sDw0+Bu3HpYSwJaa3GQMJ8gD1HVcsdFlhk/
zGIKQBnmqvPh20ZMdFuDDdua+ocYR8q8g0tn1ihqfvpNSd2W1PlnwNPgoJ660XydbPxlRSYTF5H9
IBbCF+GFV2KcFSqIJ5ZeyBvYxc1mzia12C1ceCevdYsN3i9A0fhbW0N8jYL2YJDfXHRe1bpibNaJ
UI+5mnzEmnZIPGaCdWu9Vp3/S8D/e6xMEPAafTOkdLEUOnZlLTUf6CLOojVjlS8TCc0IxYtn9Ps6
qq9aol7tvn0EavzKl0wlNzScWAFQN3X5l2lhnOgY0Bp6v4o4P3lp9Ky97hIE1lIKhydFJ7g7FX2t
ot9UbX+gTZ4dHKNYUvNSKGetV74in5ruwLpmCZYEmjoWCYJqgIjY+GI71D3Mv2SDqoxEkvm/sjet
iXv8VAYsIplr+zOmF1HfhbbG0BeAez1i6QDvzceTNegx5DDeWVrZqrOgWwae9gwU3hGaw+D4sogg
mpE3rHeD3LPFaeXwJpjv9UjPmdZuw4CL2Fg1y05YZ7y4cyssZGCCAPt6mkCW8+CVs6Zo4/DBF1LL
G/iHzXvpgxb1Ctta1kxqnQAVOeASF9KXjmvXoSg3c+3ekHFphdmjqEEhx+Zwq/UIK6CXsC4XDFJd
kqPxkjSotwxkiY8/oT7GCVRN2bTJoBIlRdryPRDFjVLLLzS9CEp8Cg2r1fBKh3ZxiThkXzM4PBQ+
+qsmIDhXpFuS8P2iRTOjI71bJHm8mYhBVJ2+FDpyd0aQpYtxRsgcCvNGW7Z2vYXPcm216m2o05Uk
i40n6cvQMtdBHd+bVL7lSLiZYjqWzrEnKMWLVg3r0Sj22HnwBDEBtjqajsN0mfg8cHGAEUU8w1j5
jgOON1zPWcxdYZYzkjN7q3PznpLE4oTSzFPcYefZfcPYXdplg9LTtOf/4hRGAQk6ONhTf2X8auNm
IzExtsoqCfWn2qOvYAPm9IUTZTHo5gDYOLIdb+h3ZUdhcZ+dVRNn1Bykm9rgCo/quzegY0Ms7sb4
YYbjm1fOmKaguZHt2dMOaTk4Mlj+AwJGFb5Hg7GAN2zTOUkiqG5KFNtcxoGEAQjSS5SJzUiyiDw4
uSbT+qnZmrEGDtfM0x07kB4KE4N1oTCIgwSmLwgPndQe3WzICXFkvrxF7dslzO9iRf8Ku+a76+Le
qScm6Ajht0qbs1sSA3Is4wD98Um3DYERNqdKW0opCBkYfptqzF88O8Mk5L/KHt1Zkca3XtDl7fcm
gbkadjhBQVCstv/HrvIf5sEbS6udoMceQzgeB65jDBApvZano5fdQmQP1cy+x6RdE5T89WP7WVcZ
lrP6FNQzNC/b4dHaq0WyMcf6O2ujg4Ct5tGryeeZHv0guEiWztOFBJ7GxZveIcaqyrmOrbfek0+R
HH2Mkne2rchaqJL8a2Tipvv07MCkWtdG8uPZxtc0hhsFePXSlJu9TNufU4/5Q9MptPSbp6bpF92w
72OkSYuQCbVCMyuLk3YJYwBiSh/8kGlgfGRO7wEd0+iQRG3kWnwLWR/XWlNh5BU/xMH4fEo4Hxlj
EaOZ9sNgBORo+MZsyAec/szPrIY3lk+WttA1KmBJmxPhCMgNVSjF5Ky0fiFl1ReA7x/dUCtHCkEB
BEADlLG95Fr1kwXaQcMguYA7qzkSOLhxUhnjhKSwJxR73yOFP8o4cdWeJCP8B8kI/9D+Re23F3wG
XkGpVSY9/YLwycxo75Sxd7OM7lP6s+EFIv2bVK5SIQDxEW2L2huCpDzSgY9Cp5fw3/j3TtnxHLc1
gVFabGn32rSesk/zwpXoKFLaaQWMbllFHlQry9VgOgSZvZqEum7H+q2psWNjYp6HHXJfLLGTuiLU
NlpurK0w3+VYizUiORAxIB9KK6Wk8c0QDDFoesVz/GLgdFZDcUzi4TqKZmNY7aEdx1Wj8RRKygdo
RjeM/b3cYVlXmmNE0jz2011oSq9l1K0LSOqt3K5SLj0BwwIdo5g2D7YYBsZC5ZxmnaMCfyk2VO7I
yk4FJpiYLbCvaKfJvGl1MZxkOiwHgokL6FqPVJ+AImbBg7dg3c+WPxWCLe7iwBzXihkusbJugffj
0Gd+0OgvTVytm7aiCB3tyx+OQ8vAv+rCN1vwzVZ58y6awV+JuL/mEaZuLKo6mWLPiax8CxE6xB0j
LrQa/5Hp/OQHqk9Azc82EqxaqjerTddl0f/g6btgMriVlcrso7kWenvVypq9TkCyABtfp6+E/SYn
b4JtW0VrkQz7ILHWU29+W3rTObmZqKvCjjA9EwDFSoM3jT4MqIAu17UtaRIwUQb56Ph14jbS6yAI
io4hwiiqRd+JuySyI42iLwnGislKHWycf3KwvHlhrKtOXtV2wlZaZq5GaaemJxvu04+WE01jaVhm
R5fXa5lbuckhrduWur8qdWWdxv5XjuW49oaHXJq8C8Qeokzdti10O8uqcGlarm3lbpGVMY5UCStf
dKzjW5Zn96BRb5NVUs4pzlE6bmS5WCpKSPVEtLY6bznwI1kaf2eAyr780g7ZuaSXhRu2IBlpmSTo
6qVcFh9EJq8RtfKLkNuHL3lfU2XfjWB6HVRs2tEI71fFDe4ITsNFIG1U3pEID2zQenyVbfQ5ehR2
RM29tv27lybPrhxZknJOk8DooRq/tml71+ciikm6T1y0C/0LDMiwwLu4irTW7SSsf7VVbeUcMASd
LHdLJSXTzxUNHTMkQoEOQhJNWPXR1xhSw1X/hzD1b/k3/r+SUAWsH6wO/72ASmnzVw4mIQirn7/q
qP/xC/+hosp/Y81H68TDMbdgkjZHzuupbf+f/wN7h423A6MGRU/C0hRj/nf/KaOqfzP5P2Ra17W/
ezj4V//0d0AHI0qDBquBOVKUf8ff8ffmzP/D3iGbmDtofgIpJlBzoSX9VUYdxxAsXo8sOLCMcSb1
pF2pBrgsFG5DCmszCWKPEgejUrddJb9I4PyczJNWI5uMCzgUq2RXYJCVpGZpJMmvkgxca7HHRcfE
qO1N1BufZdlc8ix6mJ096U42Ypk2Gyy+UaxJ13FE09NCHxh4Plgrv02UZUCi0hGc1l4Y3Ifbxmvw
8oGJhEwQDvEl9cKV30XeWlGwnWWe7Mxebq3GpGCKHMWrb87lVHxpBSJCaTc+LlWAeZYh8nUZpaxO
El4Gi9BXUzLzbMnqbvUoBDBRKRLXK09Sr9SrAGDzxLQl4l3uy1r+bBMPFXAUvnyMqTI9eEo697uH
B7lc/uVR+q90XlObSWf/8sWoZOY0jcXeIoP8L19MUhsmlc4sp75aTytaxLm7GX9UWuv6oVwPHFFZ
3lTAF+YVDx2Al4GqJbmuT4yNT2M0u/3C6qELZNU+nkEgOnPmPkfrwk2/1Uz1Dpl66/tMSaP6iKfu
ImLEWeGnBOc0e9Mjmxa1dWyNcl365N+9sTkDgNlNZf0HbeAnCcZdQxyVwgN4hpMj5cHw0qjm+yhC
OBScbZuYws00kI8QN45ynYV4d/K7Vxe2jmo2gze7ybhEFcMhFLN1mNY9V8u2PdMWamIJhZfGGpjN
B69+S5Z6XE9kkRfaOH1XXdHePHoUIIBoR6VpH22ghhcf1eVgdwaBwdgYqXxXZ8QEfYT0OxQNhsGe
z8CkoMMD7efNlCzh4xaacgEzYCSH00TyOpoSbK5lCuCoBLxUFCtrTK6Qd1/89pF0XPxl6Qj376UM
imEFLNGZj5qjnrzRduU5gRc8TKHOYIpFzDCa5jBcggmNJXvcWlTTt21LgetKM2+4nMzskEpYNZWe
y9VkU55VqAdpuuBYzsriVg4xeWNUxYQTdl/sLD+AY4vr169B3fS6UwFjgrIESXW2BkfElpEk6CMk
/0W/g1vIlTtYl4AoN45BsDC/5LFjeZ8IRoqOHZLXWY3BUu8/mO8F8TkavpVbZ1Buv7M6B3oVx9hN
jZxxKjpyQFc60Ral5mK4WcngZgv2Nv+OqT71zzl1MKm1RwbkL7JU+GHePH5nRFnu95ULpaCHylf+
yCw2CjhO/2nh8hn308Qlbh1TYIPOnJl7099nEXs28hV1uMwaPZCvslPn3G7shXlO3mwJRfknsUkG
vKfGaha27X1pHoh+WEnmltmLF7o0p8jqyVJvuE5rjCSoq22+KTq3IkvC66DswvmXvhh0WZvSJSI1
yem9Pss6VgppHYd4tzBOUZyG1NiYVyVozn6TPXRa2nrzYSg/RpmsRffSxdEijq8To9s42yakR8Lx
C1vE3K/AY5tckWLgVX37H8DMZdg5BM/HpZWuFeNNw2zDQWKkf2hD0bfja0uRfTeQapqsZWBwZqGV
iM4Kq1imWL1JLun1NesvFbeITLnIODWlonfaYFu1Boq7dwKR0TLynVKe75RC35PZoUyupwk/uuWO
wMo6hCpQtVxCLQx6YBT0hygNetiAEZd7GQ3Ytt2+NshZrvrpGCaJM8f/bCE5cFebGVZqnIeUhEa4
0ag0iQPyU/69wr1Tg8+WpV2icmO4+CGimkwXcrieeIk8iuam3rhNfIt5oSxUi4CsiSj7RyK9a9p0
81BgAitLUs7KqG4C/ysa9ipyZGDwGiIj+dY5iw8JVQ51Bf+WkUJ2JgpH8EVsE2psZXTnMN4aQbxs
AWigzNDk4iNY9I8ArlC5UJtdCTq3DX6SAV34Ks3csBQnPCfN4dYDJ4/JBU35XWEKUchrqb3oAJlF
RWyXMVr70wIUngch4TUmbWXwYU7TJi8h5+vbKHAaiBc5q3PH26HeiYHKWbCyWuugjpobRwej/NLV
h/dNiBb/yzktV0nGloVDv7HTJRgqs1w2+QXTYjcdq2oT+xuNNYmzb7+nlK3tuMNRqpO62fRSV5u8
v3qVTdhn2U1o2ltJWU54KOjO6e9g4FUckvZuwsGGxDE0BF9PA+mKxgcQdGnsS6XKByM9FMXJDJBn
N2nzZvH9Zcoa1i/qJu3WzRN8Cbb2mv39XdQECCNwQa+8nmn/J8bIEGRHSV+hwlae4wPLDjwnR2+u
VQzl0lmHzZZl2BiCbc6zRwQCcoaPO6JEiCM2RXYJ9bUomPDvrIoA1lZh44Ecop1RdYS20dNlBSR3
jgZTyJyiSMl94sxv5MSMQJhPGC0d+gPbhnqZ4WbUsSWEnSmOd7yIV5OnP+ZCsu7JMryb5ooNO9Nf
tZZs3K4Cb2ZzdcGAPVm7jIXfIleXu0bJV8GPsamKy2hubYzbds8mRE7NMLHwYfceaPgyPzv5tdMA
tEOyVX/zNDnEHgMXug29T5kGrGj8Uer3wXYm4yx4FfA7WZg4cGy/JParhI0W+DMfO4w+ktEk2svk
Mm8/0WskH8rwmVbBkj0aq4q58Rl6DIHt6LToGNO4HrkTip9JInLOSCAfcb/Kw003Lkr9LELGIvG2
MI4UWB8ZrbkeBjIuvcThu+mhUDTHMzyq64St3isfQ1msGhzovW2Q3yCy2W4m7zyCJePIehBl5HbB
uYiaS6h7L+2IuzV2tKImfk0pk79AvIa5Jk6VzmhOPo/Tzrd8IMRIRyGxmiJbl1N39PurZP3GJjZ8
5UPW3tSU5Dwrht7Qb8wWGsdwMj5A96XDUy2XPY+kNqor1f6olTepsva9TR4rJ/OsSMfS54qopczF
2l0YBScd0ETBwo0HRjtG+qeJAdlE26u+6mBunHCT4aBNW58B07jxy+/KKFZjHm6s4rMzeKLVfRdg
VhpPBEZDrqs6HWr5LlMPdbT2yPITXAvoxA5fvewNo2oSL017o2jIomSADJo20n4LaXaBaWJOs5CA
3jbjwK5w6dqj2byZxrajQ6famBd7z4mkeM9tB+6H/pbWzsgV/4bHd2IebaxbzGuLeieZG5L/6l2v
nbkThrsgFkn+gWeqECtWEy1dqocJ09BZ3I1w2+KbKh4J+Z69qjix6ZrCxaGFQVXLLv5zUkNXFdBs
1oZ8nUf6uP8q119TYEndc4FenC21CcHwaJqL9poyv5d0R7V/kVu7ihwegFLHfjMwnqLLtZ/s+5z4
lCsjWqzME2Ze48KkIv+01RPT8u4DK15JZSd8s8BR2TCYq07rnPSJR3fQAstcS9DbX3Oy0H4pFANu
FHSY1oAdOeU+Iod14yul5Cof3E441DkTqqzUV3T7cZtdwldl3Cqpq/G/1YIynt7bYNg0202VH/r4
jsFXaPiW1hS2eSbLTbIAC02o7qxAw6EiAatBtGTgn3er4Y7Cw5Jtkyp0G6rCCZC71hGSU6yt60cY
rLK7JVb6IYuW4UtFZvcn6kkhLnJ7SebL/CYQ1PnL8lmhOE2OuIMVqBHuhzXMax8Ltq4f/WFNS5yc
n8TBivZWv0uBUplXuccxucKSIoP/5ZhlfWDiLsVKk1/zx/DHrx1WWL4ThEF/YD0lJ7MU9DoIRBUX
M55+4EenVE6Png2OPN/tonujUIG1ZjJCgCdQENAYmd+8ZIHhTjH3gJCYHeBKZHxFcZNaLWv9o6r3
tJhZzWpiUFUyTsLjdsggp/Mp2e7UnAvQST41mFwMTNf7NfLVQBe5uW37DSVwfQW3bkOVbD9Ak36M
9jIwdtb0ruwEjZ7qRleXeb40xg29hSC2c6YL9+oeo31ILsCD6Is1WA1WE8DktwAQ5RO4cljhjyBH
9F0/eVx4MtNom1wCbZttM/2CDx+bBwdIegHpGiBvZ5BNihyISLyPPsm+ceXl5NF3GJrFeRoc+wDN
EaCH00wuxymeFZS72liZwUs6bdACSe/kG/KkLXOoL74+33urr6T/vwZz7bMjQ/ruQ4fdo+hpp3OL
d+XVIOzAgNbc8x0zqLTyfd27MgdDhyIIla9u1TR7icdKPxCObyDFvkg3/aXLzhRmDDckWh7LKj1T
kODH25hRkOrSLNB2ro4V70k4OMtc9tvE+8SgjWGVoBY9fMqyQ5xtsTgzMWe4BGxOcrQU2+qRZFM/
UEVVoCaDXSgJXBhU6sbiHhlHy/o1/YdpP3CCkGI/9toR//VGjOGrChShbP8o1J0zXk37N+zecKNc
M13BeiWczZhCJ1qmrER+VXH+YdDVQpY785pwPq/0nlQFUUfpZKYZbxIMwxK/6l5veZ1YCKpTZr4m
/jNgrdXrvWS13GVo3WreQ30dJrfEXmEeYUgNpkvgpiXqYR51HPoNw035oUFKa1eCQ3siUfiCAKsC
JLWxDOMcxcYrpKMJvLymEbCDCwBhxsA+mAJOsQq311+qil+E7R1np3UefEy6t5kSkuCTlo1sozZn
uZ2vdmqL+f4uVcceHMnQ8IpqFxL4A6+Lbtm7mtbHYvxWhwgX7ItU3QoWASsGOoozQD15/Suktaht
aKUQC2+aR9fgPlO2ADRMRlycKjgZCeOZSfwwYCIieisHsFAk5hy9lLBVhGvaayBS7KJ2g/13YzXY
gfuLwqMXd+FKSkZM6vwBzfDTjIyJ5GGf4kBCKXeAjUSSspYZCilUs8AVW5YgXUaTAD6JhmA7MEC2
W5bhV8FEjJGJUxWflGistMlXXd+kYrzwCCfwrOWTvtJjuJqPXHo3egD5PFEexBtSkJN1ldJsB8+W
wxOHovBWe3uFWkW2yoFST0I6FsaIONwJ5bfKV0oIpqMARfxO6gyiYv7Tdb8q6L7O+hLlm8lVe9Sq
lW79tBLNejK1BjPiILgP5btKCkcGNNB+U+CcY8XubVgzjGu7D224A+XovZuVMsQf7FU1GDzV1A2B
SpkkFo3ArlcqCddcHc8Qe74kQcKmlcd9rFrNH45bL1NqYVEQw83TYeRUvmJt+UV4lFqoBk1MtBIF
vzsHMpRnCpY0N4Mo+RXXQn4N0Ao+lWHgUpLUNAir9lSr/OT+uZWZBmUtMz9T/24Yhi0Sjm0VKRil
Rugoh/Sg6WI5mJajS3fCjiHhHtPFoKhzNkwom+j0TcoZOEbpBXzDXdmi9FWenoYg8MoJmBbDdUxv
eCFxwQSfUkX9lnrVOar6bucWV2hs8HrOuKniptXARkTg2xtxYLiB2q46M9gaBsM9rcl5XLFrc/dM
GzR2xUDLMxSmDs2pbofHgCLe5u1HMhkU4yCmEDJoAyL5ybBocFSE2IZ1Ev8V5kGDjq88U7/UhlEW
6GF8/xKdQ4jSKe0UZbEkfXIqY4UYfm5bC6shX5WPSH7yVxvWyknLOFQWfX0ykK4WQk8aR6JvZwVG
gDtkttVilckB2E+IhTINJzU8DVvEuzQKL/jPDdjLBJkVY6UK470XVD0PQcPMzxBuAmIlKDBaWwOZ
11jc8sHnVcSi02XJQ6IIIdKD3qUElwLXCY+TnUa/cdrRppFErwzOeL4y8yWipLeX9QND9F2eWl+e
zfu2SFvuPlhDFY3aoECLznVbW+T6TSpMN1jurLcQAIi26PSpnkfI1DUsBm3iChdOhO/53c2dpPjt
AXW2PFq0OD96eWz2ej0XcYhOtIsB9xXT1feuH+2Vmcu+yxPAfMMe3il/4u5RU++NDsvNzQKgQGlz
v0JSGr5jaEuOVWT8wFmaubnAbTarqYo3NJcMB0CfIfhFuWzc1Vl+LbNOcSBaYPScNG5bs0xr/EOx
Rbsdq+oSouUOZmxvJCuMjsyJUHrHOkRTMpplWqT0jWe24VRdHzgEwGnPNkjFSdMp6+xLNMvIaeDR
mJDO4rIR4s2ofJuOVhjMLRNNPhaaWgudEpX57+RH0lNXbFDXA7uPLOTvdISbT2Xkd29x4WEWiLgU
gUoAXUF+JNJ7t1DZ8mWR3JADOVZW+ZcEmnLSGXODDGebIyMRCftPCu0zAhLE1zB3UXfR06sJ21gK
GD0TCpIYPXRwchO6jBKHkH9odeaVpHBs187J1wGu/Kzq9GWYsdVQOOiQo4xdsyqyuQZHbQPyNPb/
WiKIIH/gRGLJ9G91rHGK8lVjE6daSfsRdTqaiDkFNRLdFKl0NhuscCpED3mSq1OoKd9TEIYblf1J
asj2qSGrN1aYmgNHIbZ+lvFipIqKdT4Rx9iGniZ5KCt9JKlnf+AkHMiAaKcOWEEOcj5u5+cEtoU0
IZWN09w/E9rTyU7sre1111averfUfPgzHTW0TR+zEmkfA+SoTTNNTxEYr3Y6+kiJdCMZRvI2UpzB
1JwTp8176V3HYeDmUiSrOuukhQzQo7GjJTX1Wz+Wtp5FaoOozWenxb/QfbYaAToFt9eI/cUsQCyE
UqSvesHPWRGey4eWMJZ51aUx2EoRqe/GH/WdPkQSEkX8MxYGWCz7E7j3lxnUH6FuOAneXjRsw8GE
BHIaJtVxqs1bPtvrfKnjceG0R14V8YQ9VV92CuaXrvlf5J3HcuzKlmR/pa3neBZAAAhg0BOmVsyk
FhMYyXMIDQS0+PpaqH7VJcx6UOMaXruX5/KkQMTe7r58plZalq8Yr/GquhdV6WNbUro2WuVjnmS3
0qS1XsdvIq/WMjFfvJ69VdNhp07d+rfiZgN3eU0QEsXQHB4aL6y2lhMdzYROJpwZmKACSO5rWTcz
aqaNt9ls3klbsicmOFTV9mus6hIeU02zbLwpND+GpNScJj93Vpj/RiqQllBYkTXARX2A0jlfDTCk
2ecISJoFq/7qujy6eiTQzLnyVy2xNMtsyleL8BpBvzO85n1IsG0uvHoztPorqJ3pLKEKWHny4Y8k
TsjPOa7xbQ/RdnAcn2e/+LG94TJMXnk2TOsCEh9vW22nu2qMJUsO694hDmi63KgKsKrBEhuEJvzm
dmH/2vvjVkEJBxOQ/d+mnP+5qqNtQQn9D1LR+qv9+l9/izZup/uv/O//+d+rsi6IF2f/UXH85w/9
M7dh/4PeHB6LPtBNJSFAIhz9U3F0lo5SDLVAkx3qhRw6kv5Nb0SMRPyzFakK0zNd+9/1Rtv/h+9Q
e4oO7iofvqTz39EbLSGXgMJ/ErZMEzcnoEjEOdt1rf8SYMi7KnKqhkF6rNCoZ2wMBRpD7U6f1XJb
aEsu9V5wtiZ8AdKDaMwE1tJC53cffmtcy0CeiXy+GH77i6hzLgBotW7PPphFZ5HND03Uf0VN7a1V
zFcilqD484kBrTKifZ+07+wfd0U0XEeneE0k1xlbf2DPoBU4f2+i+bUG2Ug3IDmOYEAN8CivsG9J
Z98nXkzYFiu3xm97Nrr6ufSdv51rPfL8cAgm6kvoe5d4jB4FyC1Re9fO5i4sYrsgZYtxuuz6E+m8
TR54oAjz+8FMdnXsM1mJD2t5btTTMr9n/jEssM0PcfjYafsxTqwTrsBHTgMqVh330CjMwCOPWzC/
9Clie4T7soQUcHaE5BUR/Xgh05mZDVRiC4GEqoC3INNPUSiPJmm5xbV+KTFOs/lRyKd9Lld8P595
zT4L+pl4Lo6/FA+cFlN32ovdWIvXvlKH2smfHbqrSdxkFz2qH0ukNBzC7QN7Mi62vJpF73ivaWzl
3Mw+gLa9+Nl0ZrP6Z5LgK63qsTaKmyHRI+3A2BMWei6i5koSHeWlpEzBMA6TOV4six2Ua+sHbeCu
CFwEFVWmgsf1CAoR4k0Vke8wuf7OcKB551SJPqIkjn/a4B+0l8zr1hm+Ywt0/hwZ33Ui91kMfirH
mBoamBa5NuEzDKLPXmdw1tD4OFQclkrxkbeC36ZEqnohkbt1M2L3IGbyyH+pmPv95qXtp22mK66c
ORYR6xBi97NZIjolKH+DNQT+XuYV89H09UYIsJ1dmH+nUcWSuNF/HDZnomcd01GSvZJGde/6SEBU
R5wCn5sR5HzRaADv6aqhYpQG+Ytb8GEJOvdaBfUhb01zXQwQHiszMFZB2d3T5QuRPh+32GG7w1Sg
vPWefMf7/hY4ZG+CgXK3xPo1k/zbrgUf9+InqkDjiY7OTy03qUOcphya18x3FgPORzWzoHBzDQW/
OTQJ0MI0ZKtpAWQTeR6ttd080DHCKNff5+BYJgr/1MR+XmW9uSanP60mtMaQNu4wWqCbVscIAI1P
1PqS+6iJLt+qWLTwUpN3WH/PAlyXEfeH2DNeQyt6SBUUsTLv3t3QWeE0eKXQgdm6KT1e45HKhe41
dF0OZ1bRDX7wkyER6e3C4CI20Rwu9Etp6j15lbVoqAlMguppcNUXZfV7rpnGbo69G27hQy9RX5Op
JweW6lOux6tPlfLWpx2NviHzycuyR9fSxzgwLjm6Ge+KvM0RKnMnyI4Y2U3BURzoYVT1sugXYFwq
OP5V8+zMBsBSuXaiESp0Eh1ptm9WntcCLENKnvs/cZo5eyDOXG97h+g5Vbrl0P1RVfUhZ8KzNRrK
ijgScnR2Y1mFxlF28wWPCPsSm7l+TtM92XyEawpiAsAydlM/G8MuHGRFDjp4zCgucnqw3tq9B0e4
yexu3+h2W7vF4+im5z6v8EM5H5JkSM2aNC6omCsoW7UgGGGyZ/I0KU9Zldz2WI5c/ESvbTY80QyC
zuQVVll+9JeF5zAIlAf6LBlTvty8fykgx1HzyM3aXpWMoHTSbroAHccKP2U+XNUUAaywnXtAKNz2
2V0QxUMC5XpmwninyoItYlIm2MNxzyXNV02yBh/8xafCJ2W2XpeEJfjmKxjCzT5Jjb0f+uuWqs+i
M6+1nV+qwHor+y8wZwK3iEwEd3b0bRY9NMWk84NtlAeXqIUbYrms76GeSzL6TfqnpSc3iM6uOGSg
v+IO1V2YIf7i6mRxE2+gaoB/usOru3zBHb/f4KfZuh3zIlqA/vCKH9M+l0Ifi/Q7wnQbsesL3koE
8Dm64ZChWgrdFYhRSBofvpbyHt1oEUviN6mepzGncTUkiWgeJuFcRkLCbjDupfVLVx9aHa2VRKR1
h+UeNIKsMBoAXW26q6dfHQK50UhqyNzG9fzHAb6rs46P6xfgPi7hECWvvRdeRQm3k2216IEsuOMh
dp6jIrkJ78NG/LD9DyqSD6FOBccIjyv3wavwZ5rluXX2Al0ELd4bt2DBqfDlYO7lfU9AymD1l0zN
Gr+sxXE0E7CkhnedNvDCSajLrDsr3HteAtpfCL73AtMqT3zTGe54DpQCVCrNWXV5Ddj7FAj5qOXa
v7ahWtUQiV3cddP44AUfFbpH0/3mMyv+4JjLdD1XlASHbHx7/v/9rz077MZfJ46l7mM0NHNax4Lo
Ke+eev8tG2lpCJgKrnX6NA0gYYnulzQCiqRhh8usZnwTeV0pi+ULeISh+OauTCzj2nU0/HzWhmSd
vA+as8nO2jbeffqycdqiwkR1v7J6e1U1Nrppz+453caYOzv1oOWrEC9JtEvSkzd5jIbzToExgfGH
GtmzuJ9wMi20ltp77L1qO8UX+pQBlsEeNZB7cpIh7L6qNCVRdLNLSkUumR7WvNX0Ed3P4bEHbhf5
72X6bkXUwYUQotCJoz8yjs/l8qX2TMCn5xTixhI8VMODsh6pyAgRJvlaoxyMAEfpHvY/SvUe45qv
GGMxOXs0t2sbIWneWjRjOV4FDvfigeMg4l5TrdUlq2lA8i7cdc+awv8Ol6B9+uyHBBl53/LkVFbf
Tu6RkxGoaPFuZGXkVvGG8tvJOWXOs7TeOuc9deijTsGbfjfy1Um+TXamc/ViDzSWwUnhvI/KX4M3
QAX3YZncuc41jwaIqduGbTPiBetfyDDaFaTM678lOaWUlQbofM3y1oYxE9hwXCxyqAj8A7xFs/3W
mtMmCS7twMkTmFfteZewZoXKJJ/MmJK8IfgRU7XX+XRzaGJgY+9vw8i5pUHzwWh6o5jqOU/CbWSI
8TAGtruTGnKZjoN+h24I6zkduVnk6s5MNNtwxQa3IM2078YMTaPzWmKMEGRUkf8N7VZjpWPBUaCk
9LTDZ/2pD3looZ+W29bhC0b0dp14KDH+1HxXk/WFYeurCqZjrQCdSY+1LqvanRMirWkSoEd3mv6k
dC9vXe0fGOD0wVcwKLIhfy2y6csGzWj76S+UllsrRLkyTHEks3ctM7J4mr2Mg38FkE88D+cZ/7Xm
4k1IArCZ/xLWqBwewGUq4Y6um1Pcnd9cFtPDQj/uuDrO+hga9k6z6nRKsM1jtVE4wT12N6zPSOZ1
bwX/PkOWCsN6F1SK7U6wlm6/kTjLkxQWOy5aPgLrdPRJvEgaVJo9WLyVZbenerGmZzOAKqtfWAsT
JXPjtGCA+71dOQ9+pxWX5YgNhXyb0n7Au4T9fViM8KHEEh/hjfdM77PKCgRS23ixSsLeTSN/zJYK
3nzwOrpieV4Fi91eBOZv2mHLaQjvkKVYhxn8CfhY+7kjEl2N4sZhoNdSDM/5YBCI7pO/aip/AAFR
jtaNPI+WBIBIuPq4SypAhbmNYqcm0HzOV26z7OroLLmbkwBmRsmFvdbAhio/v419hh1SKApOzL8O
u+fIZz0a1jOpSgGAKG8JEZBJetZLgkHFiMKWygMiL8jmkbIQG2OYdLN+q8P+2pOG4JbxLMr8lUEy
RC1sTjPt1eAjkFJn/6dy2jfhQZrtOE0UWQubzAVt9ziOSGHIOP8YSWVIf/oQmY89v91HCV2Cihkl
CdWGnd51JtdhLAEP2KarmSiuR/IDMvTeIwmiSITEJENaq7vH9HkeTOMzJzkykyCxSZJUJEq4YKzF
EjFRZE18ttZYynYxGZQUybQYnX1ANsUbkm/bicl5LrGVaCDAIpYoS0qmxVzCLaxYXjpZ/ZIEeRxH
n40IXju3czbklAkv9K9yMbovgRkOXfOMsHDulizNEqoZlnhNZVd/MvI2Y4RU12v66sRhWgI59hLN
acjotDbPVS9JEQiXAI9hzccBnnnEbaH914iPMP7mLlSWmfSPX3V78ELrhPkHJG3ibawlYcHaBJPE
fGjJEFlzz26KMcOCTkVaK1iZTXqayR1BDAnxyUxviUd6sktfRhJKIBv/yC558KJ8l/ANXcJvt8Lm
aO5oQVtCTtMSdwLQwmm+RKDsJQyVk4pyhWT1vjzwTT7gVV/ea78acJ3MYN7D0scKX5I4tvvN6PTH
3lQUAQwmCzc+3+sR31iIKc8lmUkY0Nz2LCwAfFRbXefvQB+Pid0f4x6DGxNpkWL6HBMQJ3H8hMVl
Zxfih56TtzyOf/tlRatl+0rG8aGs5C03u12JicV0p37nsJjD5PYxsNMSY1itgny8bxXtciwcDSe/
mql77gBFCyHepDY3g+tQ3xLPP56fEtq0t6Fp7V2ADnVUUl7SILKHNFLOWR2urdzb14n7N7OqhlQG
rgFT1OkyxjIqkVLOY+9S2rhzkuE9EP6rN3R0nAbpTmFdjpz4UFbOx1ShSRfovcQHt75VfuO3ZjFh
QuXv4nudt3uj6g4VH1mrMr/4aHLDMXoA+eZWs7YdivTdi4afAlW05+/VlTTETrF7jLrqqhDnYknE
tTKXXI6Zb0NrvFnizYisxx4GRT8N59ANTrNZbnKHOh7lPzdmd6AF7aYm1gV0WJPt3ZmaDazXPoQx
D8I6uxYsFeqaXy9IH4xowqKRkQUHAZMZM/bVcd4HTC+FHS/Ye7wL2Z9ipre053psh7tgMDajrNhM
U2g/LaFpc+fCc5h1fy908iw869AF/dVz5xuL8jfSfc8MZ4fRow6xwrEZWvkmwOnQBO2nLsdLYpfP
da1e2tq6uuy4kzHYTKHaSt3vBR+PVNVX2M1PAudl3QpccDgfZh54viCesjTqEseJbmPzdwh3Xv8w
sinpugcVPvsMiun0N3TcY1O63LfIs2Av01B8OtdYVf4j3bUDiWUJSTv9rTmkhxk7l1/eCewDGH1k
z5bi1c++RsxABoioAmuOCniqQ2UvvpJpzxaGh2hybDFsVkbLAyXdVtl76LF3GPCoADo20j8x0aPZ
5LsXrmd8ucbCmRjYqLx32TPMdO6rNMwLILXMcrZ1i0q82fyB5vyeRSje6trFPzIoTzEDLjlKPmGX
oaFbzMSfPn7mwWdXd/ibrkX+YAL1z5ms4vnX6D9zJu+Bsyc3MLnqee9h4g3UtZ+eCuslRyONMNjR
KhK1emu3AOeHN1l+GCFKbkpEdUH3UZ7n4qV4boqvjmyPFcwHadmk0rCGjQKymNwmBGeWYjNV96fW
NO7bBKscft9IbWp8SIFFqNjk8YgqXJz8nB3fh1ABdIYjhMwdG5N1ERksqTHTlM0WrNo6HZ6C8FYo
6r64yseeTbjtfmLvMsk/NX0UYZJsipmVRUTPLbnRwUpJtOK0iiVDPBvGcH4wnEMwij2Rz48RVpLU
0TrK/nJQB71kenHvZBJw+WZ/f4lhIZsUzUBM17Y4Zg7YadhnGCMsYz9MeDjT6djwRHxX/hPIwVkc
XTMsKHfLdtG42Oo9iOJwc7FkCHprxmIfiaOmNSYVzySkIGo3a6KDwB0wuvC/FgHxAmO9WuGJmLW6
Hx33MSvw8USLe0BJrAcWyohys3cnjB8KAVh2KnjwznX3Mio2JA5TRDi1xyiknbDv4ktewfgwwATH
YK9jZ2029pMsgWXN/bvyhtceol3qNLsCrbT0ww+jaw4qrfe9YT72vbmTpfeb1+nNWUwYA/tCFcCn
XkaeuG4Ooko2DqfXMATuGpj0zgwTIPDlQxUk17BnAFSpsHjQxvu5Cv5MXvhLwHiNd3bjWdV9XrSr
Flbg0Ez7QNovRiNPjB9P4H9Pg3SfxtjZsMU9upV9gFp7ckS0N4b5zlgyAi33SeW0D9mADgyQKyuK
p9p3Lm4lKWzksk2Jmgr680Rhg0MXV8dXrLfja4KvzQJa7XThkw8yGnOKubOM7tETfAxFsh5JCsg5
Awwy3OxhXjlhSDw12o6W/zPNuNhklRy5/j4MSQ+Uze3Wcxe8DJleZVVzb6rx5LnNdmpTHNHDJgIw
vNZp1GG9Ktf1mHzM+citsDmZgXn0cgjjTvZNaSMBUrWhyhWhMNgk9kDMpvhylnXu2ObDCgLcbZ4n
5lb7Hgr0RcGJGHhezbV8qiHoCCxICQC+LlcmDzRcgwNlLvmyNOEoYiUszmzn2B9iJizD8oGI4x7G
24tBIiGhvAEjaHRsCns7pA7RG4O+Y+fiOd6jRuheTW13goIKT6lX0Js5LnqgpEZ7ZshfoQ2j2k1v
7kDYYArtY6e88NjYQ8UUkn3aONWinOuS63PloDGD4tW2Pvhtsitx36dOt6vJNzL0XmkR3vrutBrM
4W3G5INHdtMkjM0L7WEgVdlFjnUXD5x/Tmw06zhO3b8ttXl6wkTtOgAxwuxGfHGdJDX+JeV+dyFU
z/5uBp/pusCA+uky5SZpS2oXsD2qNns2+/nogJks5XxMtLeh2xtXy7TJ5LT2tLOX5r2uY4CMAwnS
/OARKoqsdlelzWYWOArGjH8QPbgfyM5s7PqaOTz4kbHxWeOoyxrjaEnvXCl3ywYIel7/4qcW60D3
4uPcCnpcHNW9TElmmuoU1/46NOmrA01SE24twcfPwMmrmdVq+akweztZenTylnUrLkLYVzVqYTTB
tOVCM1YpTMDxWLMiDvtio/qPTnAg178qprshYhRMvppqXi4Ke3PpDQeQmpjJehoaQibJHajcW491
n9jOOHB7bnuKjSkIIPnl7ZyW6NXQ82yrsuwl8uRr6qH3xqQqBI2ZM81aiNqY1UB3B1w5WcGgz26J
iW2dkUoCg8SFxdrFqFkIhsYz+hSJTrGJmgifW7oRDfVWhYsli7hJ7R3YJ2ydatgrOW8ggHL/4tJa
d6to6cLU7ipnRZJ30GWWuwmmjlKSGqi96H5U3UqaIXl6klBELUafdZ3lHKDkHpUYbga6Qmv2WysR
0DmWnRqzTIdybVsPQjLYhAFs7cEnoMrUyIfHA14QC3VyI+4TGBySzNhJlAOeW7ucUq4RYo9N17GU
ejXLhNy8u8egQGq+vo1JckWGJa88rMzFxZH32KS7fRLhD86HWwPVNgCTKmW36iRlv6RK6LBaG7h+
NQgbC/tTR+dSylkxogwU+fibCOy5eCnsYFynfCZi1RFcT4jTZVuJtdqtJoDGdK4xIlS+vRngKM3W
g5nc/OE6kWQ32McOUfPsU0Lbh+UHn7m/7uLEGqMHcHzlerDigz+OA/6Y+DmrDBwIAkXH9o9eFr+y
AdlBGfju04qbn36ss+ltRBBrfOIWmo+Xl917VXl0VQW7CZXd8WhaUQn9h8k5sOWrVs3ejNDssTVw
eBFE99sH6KvkdtyMp3dyNSv/3Wdv5zbxe+aolt5qlsTWgNWJNfhnUMKldwDUA0PadQoXGiHBQkHi
mJpxH1XetYqdvT95n3aC0tHM/OdtiWG7642DzVEWF/13hW4UJLzV/Eaqmi+Oh02UL/33MHA3mcXe
ActsusCQCx9UT2P8MRRtGng5LJagOfGOiqQ6L/zZzMovLlznlCBAlYBS4fortD5nuX1y4bca3qPZ
qlMGQbXu3eeBWPkAQO5ujEBWYxF5cgiM5TI8F8W72curGYl9ge1wbhCbxvKxknghJXvPuT9WQ/Q4
BdVOtMbJT3GDagGotOMXUuUl4V4U0vJeJNzJLUiObe1hKlJcIxy1dsm7BGa6t2J0N1iWiqSdx5na
FA91Hh/zmYtekuNbbZbhKL9gbjn1ZXMJJvUUT4SYF1ZrHd6S+DsOcXK3roVbNcpxa/IsH4l4EEKO
MpL1eWA9g8jaRBSsBwGkPCgMDP37sSh2DdXqk53h7ShISiXvucHqfww5T6eASiD8WQ+MpUfHH4L1
6Bq/eCEOtY2tBrie6rJLnGQ0znZL1dqurKeXoCp3Odi2Fm/LXaDTozdiZnGCb0/klzzlKxGTPp3q
u96iSjN+T/P2owy6K9QO7B8Im3PJaL9UU8uei3cjLmpoP0zfvfmd2EnF1QG8T+FI5n/4SURPSJnS
ZVtsTBtGdN3c98rbz3JiZEvrV2NIKf+UWbsha7/LI2tDSOiDhOkfEuVLgpuBKn6KS2/bYbRHdoMN
Zpj7dnJvjsWXX9T2uZ3phfNZT8viknfgH7CV4SFhemUQmfvNbDfHjiu34RQPpiWcVcj8A0Bh2amS
2lwzBqwC04fZ7K2ofb0E6m9BndDC9HYI18U2julu4KDk1g4yp/T0gzX5OFmKk0qcazYRWxD+d4LH
b1byNrK7hAi99XuJjMykUBZ77oN4sWIKeaaaJ66zSbiUmGnKgrf2rxzDPOo0gVrpV6+TAC5Oyfsh
DbNd5+nTzM0B/hNFf+50VNwIdU3dN1mKcB7ZKA7kRLuzYSCtp79Jn30YmsdEAnmvhX6B2/ZZe+PP
0vZrS9B1zgCxTXbO6l99Fv9zvSZKLhhJYsf//4z7PaD1qMu//9b/tcjg//3wP10n5j9s14IFSteo
g4dFubhY/uk6saCFwvAVwrIFSHJIov9uO3H+Qe7ctOgu5T+xpeKn/i3mbv9DeRblCIrcvOMI9d+q
McCn8l9dJ4KLlSDkjjfGFeBD/3POnbo6J8nLRN31Zv2Ym/FezAHkcWOBAOocdY9HGPOsiyAahN/j
mMb3Lr1w5K55SLo0KnNIoeHQWH4cOkBRhvPlZHRa5wqZoK+2fVdVfOsJmUKniCsmISMp242lgz8J
W5BGLDYPTz86fjlvVKefREeAwMWl3pnTWzEal9rS78isz8Os9Gauh61jx5uhIvmnSPZqg/rfUtIk
mpCN1Ib/mxOzCMXwVLBi4EjjieZ16Zuny+cJ1osbDF+t37GesL/s3n6kKPOmRbyxUps4AtHfJDs2
NHG2+OUMv3wKchGs66E99IF3IHtQx+cKOnBNs73Y1aX1NGhQWzzAa3YcfDXLeWGYK/qbjBrwuEp7
IFeZ/Ckde906/qcC/00x2XksXLz6QdNhS8fHj+IyeiSF+tA3L9OCsTH9fjxx5lI6HVr3bWucldUu
h7xxBznoEBSQ103sb5TK/xVe8eFh2OSZmb5ILM62JFuLu4RG7wUMQ3qoANqSoD4mmJBh9E0cramk
g1MFDOIcZrZn3DgB6E+Yh0eoXeY29VS0GegXCmde5wy38qpn5MdzdBQVjQqyp2UuqD7lbI9Q1xdf
ogSpFnSXHN9G7pMOIc0NLHdcOdp64zPwE/r6nReA/GVDorfLeO8hhTxXHIgbHaV7/JP2p1PQwqId
v7h42UCJXR/asLDDifPWrPZV5X/bIjV5oRt1MPPB2RaTz2OPtgelQ1rSBqJK/iTVxrGmTzMzX/oe
L0EcR+s2mM7U3carrg58lr2ocXz+vjOwc7KN+XuCXc6R+MC1t9gWShtMVenTpFnjrTbiS1J3MMm4
dK/KKCY7YSNONu+V1O8zKUU4jZDlGGx8XLGmBaTMc1mfBMVMO7hL2gdQ66NX0n2RwfmHuPseJWRa
wvIchwSk7NqFBNtXL0Q/Od4a99FeUIam+2NJ2171LUtIxHGMary73Un167AlsLhFPbVVtO6xRLIB
yYI3QgR3uh7XAspvNjWfpr/X2gEGJqgxw+SPDSmH7wMMcvAOAu6lisQm4F6u2N+ZvM6lzSE5abtb
+fhrBF3mZEg6fg6xMLfS7RwQXk7sm8vdRkX2NpPdR5zMdIE5j/Bf/uKXgjvo7d3ahNqXo46PLqgs
A2tbUxDGSxUygnlugvlJeRiLqK2Po7dCpEdUM7xP4BLMiZcvscffPqTyowWKtISr2P761kuy4BSH
aYnYJtkXNd8L0oAWtgRqNxBDkukOdw4ggSqhVK9mIPeiAxJVrjespYNim7DyYxddNreu/5Lqd1Z7
F0YQEvZNLxYaQ7y1hdzmWAxKqW0aiDAjmRk5s9BCKGmNfNcWV1+8MXoy4yv1lOfjyyBAw8N85eUM
n+TQnZuUETzPtum0tigo2Ak8AAkmqqaiKXMwDhbvvh3MX27mHa0Sf8RIgKeIiMGVtyHH/8xqpIPD
31X+IRLi6Ai01ESfRu1uCvUQoVln81PKlRfrzl4l29LAso+Nwiwi3qvoGvCEKNvyUHvW3kZC8wi9
WBjsaFeJ8z8mMJ7qp1QPDQ4WyzrX7qUefcTUa+7cPLbbkmZmK5lQn9WbabOoDEkmF1SnWOEBr52b
nBzYBTNhepfH61gfptamkoqHPKyr9NcngxOffEWpFCOcP7CGs9flsBuqw1JA1pUnXeKAeYjxdJUJ
/zBtknwXhheSNjhg8m1MbDuV810Gyt6z3wHD2eZ8DnLEfwyEMaZykl8FxijEXousG4EEruIDVcTy
bI09+dDsHDo4JWTQveSCxNhM5ysgjL/MIrss1tjzgB6Lj0pOpzgyV+XcXTjE2WHzPWIV1pUhaunf
sDMZrvVLlOldPRv5emiXdxpXY9XF+9qa3ou0P49e/xh7ULocVJMBnjHBEO644PPC5trqFlNhtcaf
vo48+9LF3p4T/taCKrBsNnV5PEHXZp7IB7kt5uA2xxw1TvIkc0SNiBYbv9lVbc76Z/zo5phmUD5O
WyUzYwME5uZF4XhXVqTz3Cb5svRy0NWsINKlvm6ZNCCT19h7BnwcKFFcL5h9ssPA2LKdx57DluCj
qTvBznwMV74VE/BA3tYTbmwLnAcRPzIqmeNnx6ItO1Aw9m4OELOagN7EyeRl1tr6LAr8NuRLshae
aDCP+bbJixERBmpuKMtD0vAVrRCzkiahk5rqloY2NCuIXgqC3NJVK9n2L2WIMu2q5jE02YYbYzPf
Nw57Yt2b+t7DZF0hXnL1KGgbWVGm81b4bXfoAMpRXs4AMTSnuqOKqQ6Y2kSt6BLvkXyHpgMAxa3Y
bI+uEAArs2VP8SmT6pt95JtuE5o69WkI5bCSdfmk5pQEhp9ejSji6kw3Dmk2l02R5PijVvAONNsP
201E7aCNyS0xdsqgePTMnnSf1ZPliUHWpdOdV8FXzMcIex+ht45RgC2ZhdsRLoN160jq1q3z1zcG
cG4lTDcIicDTOgigKp4xQ6i0uWsDv8LvRCitcJAGGwsENQBTpn1rBrLATJg44jZlQqwsWJerccmh
acvWG2xkGMBkR24wOTuDMNe5zToxsgw6jhIqjLU9omQlzgty4jkqMEz5fc6fBxnMHmP0SZ/KRfbh
7S7vGXKMNMFKagd853raAYeaqwEv/M4bXW9r2cOmMLqHSQMUzszu2xXAeqIG0h24SWwvI3+U9L7n
JH2OO9ZO+XyeKNtUY7zuRXbFxSG2A1EKBBv/nYfAo2rTx7oFx16OUEhjlKGhaScIkQT4ioHFzxjP
u8xG9R16/9SjCLRUdazasPlpealYZlCT4qEG1NWSRZ9K+6URPD35pPNnpu2LjPBOT8yfnL9RefJ7
VISqrN8oqCMU3GuomlEI+mQex33SeEfbQD5z/ZoNAXHauWD33JI64wYavkU93yY/nX/mRl9aD2Pp
pGnLTKoKWmyNQlT1Bz82D81MqzGfpp9+FH+yKrr1qQ/JEaDgqmbfD5ZpMyWyX1sW8ldkmx/NlNfn
epbRht0VojqJ1ZgesL0bYEewGMuJHspN5XPfDJpp+TCXKzPX3V1VJ3TbJPpvqBpWVs78KKt6Oho9
OZOe39qtswyPhwDVqxsCfqZ+dNNxp2cd4N4kxc3J9plG5ZeVNyMrBdw0Mc9W0FSEoUZjASeNyXOe
DuouoQ0aZ/10BBCqr65Af/XGFJ5tkNCNZn5HtJbfWZnTHbWevIvVocPMoUEMSiyU6HBtZ3588Nr0
KYirGyskiN0zW/txbnBsEbz5VCGNXbn75jfYn734SetB34JKrs1h8DdjgrjXyn4RDrhCyj+lCVyp
r2MSqrh7NqA2i42XxBTdTO51MIjrNJa19oTcpUnh39OPcx+k3qconXalcv8t5nqTI5SzFhrXQyNv
rmneWvh0lD2cSa3BABu5kBQvJteweVTbFOCgSUqxnc2XeWq2WR8eLDfcTLW1qWmJtRLIUeliKcjt
/SKAEDk4esQ+m38h77yW40iyLfsr/QNBc/fQZmPzgNSZUAlFEC9hAAGE1tLj62dFVXVdluypeZqZ
a9YPzSLBZKqI4/vsvXabvBmF/S3VfH4GT17qZF7YSStLNVszZSIDy4j5C0uP7Bb4ZHSIdHibG/Ve
kQyMcYpW5nCOZ/LSrjxDAVv7vXMQGSoxCPxpnN/IpHzDULEUFuV3aJvHWWenrmBMMWR/Rc4TXZH1
lsy2VE2/2sq6ShO5JBxBF3uasTUmK5W332duw0PMkqucyLtPfbxOeSKKC2PlZl87DK0VOOKycIg3
s+1oxDEalgADfTeGVTN1pKcaJ5lJgfnYJi9FQAbPpOxTR4snDIdVOY0HLOzPHmyEaIpY9ZOL7/O9
jgAxYtEOW5rGEnJTFvFmQ/qXca2vKTrKl+qq8wATFT4wda6VdHbZTGQ+TOrbKpqpq7NscrOpfzXn
NlSwyWtWWE1ZF2qc5ny8GsnepvBQaMRjpUOIgMn3ZE7sRVU/NzQOqAGRmxKLCVJsOx4k3pZjX5bt
bhBBfN2kxKRAj64T2+YbNLBNLNryahhy8OQVEnYdcgwRfZBA1arlPrUUj5uT/HPT5IVez4epDwQL
PPlN55M8zKUTvLCvQa3iixpzNVvAia5i7Vsw29kkSRsbumIADGxvL3Kgr+oN5dbXIf+aWSj2frUJ
PSYwHyYZPdUVbr4K5bQN3RudMj9p1243DR7pnu+x9qDsJw12n9LWD10F6Z0aM/BxMVcZ+Dy22Bbk
5rWH2W52qCkIEn8NPvxUxvXwc4SJ6pj/6r38sdHjjz0m6CKWCeoNEr9CnfidMDGAmMxJ0RNw9Oxt
3QHJE2pHS+5n6Qx734ZkgqnkOSvrG2beXcOxGb3iYbITiAneCXjcZZTa56Sp7zzPu9d+TTDXyt7p
PsWiWjFz9RY1iU49P88TG95uCvjCmG/+hGAYRu6nNKCwhL0Dnro0CGhSVExK7TwQvkNEKPEb9foF
9Wb8D4g7pJ3fxoB4rgSBXEymjs0g9ju+nZhSv5JCuHzK4nPU0aXeq3PtxfsfBKs/IemRafrjw7iI
no7wHN8S1Gv+yDesmrF24oaHoUQ4Vu06E+jt6DtrW9072Czoj/9ZKPzLd1SSlfrbh1ye+Q/NNGNR
SCR1xhnd+ZfzYB45H79Uro8NKT007rgFnHRTA9ZXKuIAmjU3f/+U//SV/eEpL2TBHx4/DxwaAkgX
Q5rG0pljgSRbfDaUf/j7x1n+nt8EuXgH0fp8AXmXOVIuL/0Pj1M0AmJpxqK5EM7RlvoC3Pdl2U5H
Wqlu//6h5PJp+JvHUr9rITUKIvzW8jZqrjrjkBFuoR7dbK7zRAJLBZ4QY30OyGkb7FlnTKN4pJv/
8M4un5U//CPYFFuuLfli+csb/8MTlkah2d/xj8AhdexjjIeeR7Xv3z/V//Qgv/te9B7BIxUuz9S0
b2TinHG3nX96iP++UrbpS8Hr+NdC9rps2o/ux9DkLz/yq3ztcBkC00qPGEwA36HR6lf52ufjze84
/AZ6+aIs/zs1Kb8I0Jxc/BC8ab3y+Df8W74WXzjs8bv8hI/y/M9aeG33D59/6bg8NPXYtunTy/W7
zz/VKbODcwI3aV43GKvdnWznA5unp0pNx1iX75kfXaqopiOvU1CD6K30JqBNTVY9R5hQilJT65E6
bOzK14hgO3c7FNPcI+Ju9282+2jWNsQoUEZji9gUV4yaAs3lD/QJkcK820AS2BSBs/VzioGK/i6B
0eRgIbBg4EXoFQMzudOUB0GvATSWQyqs8TK2Ob5NJdOz6D9EXF/2Eu8bpssDpVP7yOEEWtN6Xuit
Cj1xwEZ46zWIXHFpXA+lJDhe0CnQ79qkfqbih1QXZ51VlrLcdlU4bP2Uo0JZu9cyhdyYQxWkACzL
d6ie8dlyPTgnDQY3u70R7WXY94IqK9oWtE3OPfIQhPp82fN1trGaJGIjKlUpIacb6T6FEIo7lvSe
4eePPdjNy4xCq52Judqqklsc/6RNuRBNM2dg28QK5ZEYrNT4VNYOQK3srnXsUzn7b12K67Czo+sq
dh4BZ2db3yD54EXWgxWDbpjUeGfk0sZyNL5RTPapRsLeQWNs02x8TP2a0l6s1xC6pmhf5h3llXEV
XFWSnVzSG+k95zVjJUHVX1Qd+93EZ/tpx1Th4CS+FyYqgmy7nooKzj99YXQYgyqKtkzQKfgXED17
xJ7Bix/jUI3X/QjWo1oSloCr3UJfUzzerYdeTNftMCcbpsPyeRo9yJxKb4y6XFtF+jqUYrimXm1D
EQ9nV/azgmOeR83PjcoX/UsoPMJJjnsGngDJhYH2HMw/27mrbKwP/jmnggAJJsehWdHlGxTiqSA5
+9Sl1b5aiCwk0qC2jRBV64fcFnhjmvTBLpGZzPZNNywuSr6u22SSR8um7Vm5+rqNmnMZBdsSBpeT
dV8V6ShnATOiqkQYgU1V3IH9PbdTc98a2OyBrbOZSW8tKwR2Yj3HWXw/UIQY6+IMGgFxOL+pqJnC
TiIeqgC/XD4QUSo9W9/nI9HcKIX7IlScbY145q2202E9Vo67bTy35YRYzbQTtLdmiTaX+fWHITv0
nzj/asZ4si3Rp9AG4/kwj3rcNMLwVx6f/tQh2Vn06LO0j1zJHF56GaGQ5I39wn4D8/KEeMBbczJk
eJkP4XXhOK8YyD+KKiroipibnTfDzGoKdfTBhXtYsO1IP1qVV68N0IyykxkpMP+D5O1XYww7QkGY
xOwBKaULLVg0wthaZrxr24J/sGu9Gz3r92ixGoSE7JqSDLdHvg4u9BYlrsMkW+27jHOpAiWWmSXf
kGxY1+PM+sFU2SXFWhPwc+Ni4s28SMfsht4cDlp28s3l3V/Vub/zvPgJHxn/QZ1GnWFFs+uNEZbO
xTinl62sjEt8W3jwQ5s3Oy7e81Bt+X63l0kUDadYYnbzKATZd3m/dGTRrdooyulSF7qOjkqI7krf
uhbIEXfUN11gdage/jFILc4ZyMVp+X10zFM6t9aJQgh8anS2sA5DiSStxZ7v2msDn6mDWFudja8x
Ta4u/dO5bLbN7GF2nJYYCZW1sZq4DsavlDONe3Q8DBM6dIarLstvKWWLNnXLa9UE8buvhbnqJ/Mz
C2guKKe9H4e8bhQFeXF2tPL2sqRzF04prg8wgnwtKN1D6fUtBxtNTN92eOjq0DnBNtka7CWcKtxA
8qEhQd2wNuyuxgIkVUOMkiZQfGxDQ067bMD1WRl6Xrvr/eKkPGublEvdylB+ztopV0Mw3PfpCB9U
uDaWVeMzbMU+gHmydSyIclLueJkrjEY4JIxmGyhOUj24ngs3t8hoOv1HWxC0NEPfIUtcb2Ij+142
zSmp+9ca33hvsu4CpLy2KhY8wiP0F0XkRfvxfXJ9GDqIBWvhWDTVuFhA/L6/730gxz4tra6A5T9n
DzVxRAM730SuSRb6MyTJTk2e9Ty03bkak10SAaNNa+HftHnT7JKgOo6m9aQHnpgZ9Zyk9VIGFXSs
BhrCdj7CCD1DmsrgYD+7+WbRNZPYeWY6JkFgLDvDMgEAPJnegSd73yUO5T/hvVc/uNEHRiQ2ynwJ
khybXmkdB46YY6R3Y4xK3bb2i+ERHItx0bfha8ty7mLurF2M4dWfsZxmzlWbJLz2euXbej2lvMBG
Vt9wd/4mDe8bS97PoHRK7tT5mz+GZ8PQxwisdyuNbxaY5ZYPgRm0R7AMXLl4TycF+yW5C02QZaQx
yCgIRMFw3VYpR8DlEhjvJ7TtGMk6hmoy8l4gq79YAlYhf6iCO4qxZXL6q8qYV9VSNQcFAT/KNL8i
3neI3MYewxPIPUCbJQV1c1YCVB+Nj5Tz5/cinJrtYM7hoc8iYHjZo1ia7mTiobBL+Tk2gu0V5/SI
i9PGpyCvyehVzKnMEw3QuRFKWiroMhoq0K5WeRK4yxYircbpGGQmXTDWyhzFKkprimYjaM45xZ1N
+HUm54CCRxymbZRYwNPOIccxCJHInh7dyaIxqlHFymV6uXAWgg5mpM+I+u6pjeNNbbjtYezw87TQ
Xwj1BSxmYMkiy9OebCzJyCDC6aIIdHI11o6yVi2MWHaug9ntJr+/byXWUMuB/O2HJk/AfskxsOHa
ce7NrvqYzPQptAHLetnPRbd/eTRVfzhcIDK49LUy7fJd8H5/gikg0EE+J/ybBIAwEW2DIDY2hptN
W/7pcAXNipoIcMjQZK648kAY6/jc5mm8qlhNErgsnqi4CPYBQsMuq/Vj7ikyVRJqYRW0lLlIzT19
uW3p5QbGi8m97IfJ/fbn89aPion9h/MtTwIgCSsMdAPlqt+dkGTjpEp7UBTILz6gAwNsV/hK5SYr
jL3FhOjSQuA0J62KBfTxmrXJtuqz773qvnd1/jkEjAnL08IBuonkxII+2oVWeou0+6Cs7KymcmcF
0YnwwNXQl0eqTwKIk86R0pW96TSryOzOrgOVt+6wyLFYSAhI65mNwETR+Ozyd09jMe+6sWGXWIX+
RZT5n4ZoNnhgjpYuiSMv40A1GT+x81meVl66DZexIWgKYiTLKJH9NFQs48U/P/7tPsoFKNP+j+XQ
+B3QRxOHUfc/f/vL9udfI2QtHJrf/IIFDEyac//R6LuPts/40Z8/hcuf/N/9zV/INg+6gmzz+p7H
xTpuIcd973hLP356hMM7TRkuRyxC6pbik/DXZ7yrD8540MbeP/7yh3857akv9nKYwqzkcdIyPRfN
7ZfTnvlFEaChrsPh/vQTPue/TnvmF4eTHiYl28KM/CMjx+bHPP60a5rCVJwgnX/CyDGXx/+d0CBd
X0mWclxPPd/5nSaYGaFJ46Fn4w9Ehli3ruccEp8gAGnYr1haXwo+2thlnlRH083Itbccsse5sA8A
AreO0d42sffWUaPA/1H2TaBp2e7DhpZzZOyt7Ltl8rWD967I6lvOr+RYQu56rRjdTVGmp9GW2bde
zyi5+FBJbs75cYAalfSMj8NgX04kjLChU0mZCUgYGYkyau6uwjB8NUP85nEEaiqh2mxQxibA3xtV
bHALcepijmvBVK4KGZMCJaM7N+F7iMc3J4/noU83C9YtHIecFEq9qThukCRs+l1O/DlPgnMKMciK
wEPPBPeqDioDzooNVQQvlcLXA6Kt2qopfKFqFiJ705ExCvKvCrU7AlcxVvmR08G8cWbrKCuah13D
31F9dC0YTgs/P/s1GYZYc1loQWA41cQ/N3sqnAW+4VWHSYffVKNSlkPpN8dhYApH5xSL4pgbLc/I
XKWN/cx2oyY3V8Gcd+bPEMJ2RX+AGVh3EC0oTYf1Q/opWYeC3XxuVewmaJBlGN9YxRJE6Zi9vTRm
4+ob6oLB9j7zun06yiM1sd8cGtqA9AYw/CP36GrA6XkHCE2Q9fDbZNqZCRkAe2kmyJxsq6FzaI4j
mBGo0jWq+VtgGZy/6vwKi9b1WAtjjYEV58TUXJfj+HUpeWE+aYZjpxWUDXh3GcOiDiFBVhFtJ7Ae
CujbGL7reXqNhs7bKQK7ui82tgcJrCbpkmZdsFa6PkETucFoD3F1NAFGVPWrzi2GfXa8cD7UDmzh
bTiAMygxKUnp5ntOjPhW8KRcdIqJTEbBKZuerA7JekgsC3TgRIaQfSXVTyi7+fwkDJstbEs/Ryrf
62B69j0gcR6/uYAifec5kLBglP91lu2ZBpL2IpYB8ZDsiG2DszHtifT7kTyohHv0o/E2KIIHnfOU
lqrCUcxbL50Vb1dDtdhcIyVzlS5Je8QUsxi93haVvS7BtaaLYUkyxHemzdAd5/cp/EVBrrYSOUTm
YNvSu5znSw4jXzflaG4MMwZWjIrPEQ0YnuNN/qbpWUllmiM55VANiRkmbPB49oPdI7LEvDMugHEr
8AnQi7uJDe/FLP11PvKaBYbEN+LxfSOmmo2RwDFFSUfc1rt2CjVsFv5elXGcKxv2OwgoOxi1MCQV
zKXS/eY2EUYJZbB7l8ZT0RO4wQ+yMrP5M6ZVtE3pTjHr4NBk8dZa4L4SGy+cCneJxBnddWCmYL9Z
EPo5djG7EivWLOeBypBep6B8eH85XCfzeOU0PDSmeVFFG+W12yYKLkIayMQSSrHFvh4YzZhGNSwh
sxZXjY0pTgMYN/Q5VPLKMrEY5Rics2iry+Jtbow7M2OPFAUOvvWBaCBLzD017oo6OVYp4ejdRSnZ
V9eKzolTnFPHW6DDoJWD5WyIyaonSbb1iyGn0bUdvyYBf/4ibWS5rgc5bgxa8PiMtx02muypmU9s
sOcjdNhhn9fPhY37vrbsFW3PdHon92V5j5y2Hs3oaHAiyzXrhjJOzkAoVm5LIC6O1O2cQidru+w0
d5yDWs6/iMvsvcL4lcN/fI/F+YYsf7+b0X0q8FIXjgo/WSWunMHhmJeBATEKIqJMGNZZhvBPQhoF
1LhuTf+p6vQJdUZhx8RlvrSvYJJSN1OA8BJAwnmKmPVDvq0ZgxB7vw1Zk6RZ5/T5QRtjx/rPp48/
awr7zSDyf93k8bfq8q75eO0+mn9dvYLL+mj5v38+gfCX/Ko3Y5h3Fkgf8rHjsP77dQJRX1wTf7Lv
ScWQwXmdoeffejMTCBOLI/hdYTnej3Zp84upXP7nsklz5SJF/3si+2Wk5iX9y3MC+8c/TCC24/gs
d6Tlu8TzFzv1D6sO3PlhW2chy/DcOLS+vmsBz8+29qhv0DFhW3TVrq7DY1TqW5UDmmlwVLoZ7ckW
NtNSGO95V3/2BeYYmYbvjuRSINw02pHTD7YD2MCLIW0/zLi/LzAv47Koo1Up5tPQDU9ZIU9uxGjc
DdYFFmz2t3H3DUfZtsqKk9GZd3GdHKLI3jhj/zBmBJIKQ3xn/QNaxwydDVXyKBTaz9ZTARes0fmx
m/xvoNMwHHNr7AHkF2VyzhPzEIc2RgCwDeUQ3E0W2N2x5KdtwG0sBp4ld9kmjDZGk33ElcgoMurY
yPcwg6jwaKuckFGpfSA5IwEbF3Oynv3zAgzZdgaIplYDrh/YjjUYaQio1et4wdYkVX2PoxhjVDG/
BwMgtEbHxpbuW+g4SKUp7tKt8MVtEMdEmK2K4hEruit5HWxl5wj0WExsGErMX1TdFG8xk97eT4t5
Y0rfRT2J8KKUUIxlxKlC2U181Tp5D0mflb2p2+cG+Gdf1ZyFEUyrAHOF0tyWKfpeiHIRJSfEkbBu
O9kqMoZs3afyJsczdGwzoOlO+1xpXqukmx/7hBow0xrJtsj52vBkScR9fGs4e40GBCZZgCsbPNCm
nTFhqzKDFAJSAThtIXbDGa0vfH8A24q7pzQUA101PkNfRJ00Eg9kDP4xWnCJ25sNpzxI5HjUvqew
lDpZHGdRP1ikQbqed9mZy11ZW6dAy1PEPXPVhNmbn9fHfpJPXMzyG8/iKN6KLKKHrsy3GJ4eC8Tf
sCDR1AXDbeiU1BI02GGqXbz0SnF1ZILZpzHdSLrcmiYLVSzjJ8MShwg5IjA78LLWpSw8ypPEZxpO
oFvz7kqlQ7FqtbU3q/EAiXbf2rxV+N15jf1VJMAe812/7ikV91MPKxakOEeMj9KZMe1lc3WSAJZG
Kc4MZ80uSkHcjKYAX9haLz7R+jEPr+iof80YEaVOGDjTyEcbKx8KvttEReevuR5vInfgPphXYs0S
h+MCjMWLvhvpqsfUeuEwdeEC8z/dzL41x3ETZjnMufkVNuIpmYon17MAyypI54K4G3eocHTlhaCl
3bTFK83HeGY1Z46vnc1oZoXK39iGsetEe8Qf95G2wyqptLObbHy5XlF+uHN9V2UufTbhCLc+2ze1
fuDOU+7itCMGZT63FQ8XOP7WyZdAEK6hOHt2YsZqzJJexRArdFohls0PjenfG71C72umS1NEz3lm
8EYmw1tSG8cgVlTRIcvSUcihIgbyZodvmVdcx651ZeiYsSlsr+mPETDyg3LvDrVc9C1JsilYDTUC
EmufZh8sEzHuIE5fxU25xDaKulek/4y7tjK3LaO0v8zUg0tma5Kmv5qWgRv1CPJgSoCJURyTMQG7
ZTxv2dD1RYdS24zthpGXNuzBPgJoTtGySBgkdfNcUys1zNlhksm5FgmMsUKfarJZOvffMFDX7Pdh
RFTGU7/4KXH5OYfSJNDoZJUPQd/uML/WlHY1FtfuqHPxAWTGZQlHGbcExXV+8uLG0RW9elddCcNO
2fqup2tIQY2Y0x4jV8gxo8Yumdvxdej4bNknWy0GIpPrU/eZJj3FBB4YERGAE8soNRV1uY/yFoIh
VqvR9+9Lo7qdZHooA2DpFV1HVLUIK76nMfcOae+yNLrzvDChFax+7hQHGn3RxBYDpOzvOj+zSYEB
mo/s9h160X0az6z4i1Nfz2tXIuzAMovhbHBpx0ZEN1/iXMclzvYMvrOu7/KuvfZbQnAyDzaDQWdH
ZN35oXdSs7UGAQv1UzhPY4cZ1cVYQw2mf5dRE2la8QHv13KV6Nda8hGSynoJQlp5AmOBmbWwWkZX
PQCLBCzngLM1x/eWIDyiIA3P1nR2E4+bCsA9izQgGExufklGoH8KP0jKEEqEHecrUsfSI6MJlf5d
hdN1HrrPxTxJNpTE4vKJDoT//wcw00cR+mvp5ytD17+u4vclpdb+2ez108//OntZyqSww7csz/Qt
d5mift31K7HoQp4nTaYz+cPoRYoNVLHJ9koIy1v2+b+u+tUXk79l6WRljiPG9s9GL/cP9iFpSVQp
PANoO55arAg/jl4taXy/KSrJGSUDOtaEzyohWxy4+Detq1G6Ww6fkHbj/mZoSWx4qRkTaFc3pMpO
lsh3KeEVoj/We+JaqLyS/j4C/NdJkV5PBlDEBBX8YkIfXrWheDDSbDeMfAoty34fLb7H+cQswPcH
w2hAtVJmXOeDs4+igrlAyGdRB5ewzQF8TIcoK27rOW43xdgfvMjbTmCZL3rtUaVq4H51Ww6ZSp0s
P77RZfveZuIe9MKTZ8YnlcuboG5uKl8tnZ7mQ+VW17GXnTJTbaMSAlqYq/hO0cx1bTr53qDsKLDH
TcWpXvneLqTCMOzrrUgJ13Dkv+/m4CsKyEhIPyLO4chdrWqKshUDgLgz4dJEsX62RPvm4qTYeUSa
e9Rr3AmEb+xJ0rCIAbLL0QYU6WXbDVk5ZhoPfXDjpeRtmeb3GI9Z/hDo19Vd2FU3taZoJfP3E07M
dViSr9Y6DLaRzejHFuuqyXtjGzhgg9i5AUSzu+HeraNvrHaZVnBAt775Srn4lbAbyHJ1w/V76K46
w7udTBNEREIsOO3tczApF3Zf+g6euiehhmsZ5m18EYUEaGUJhgdv5UaO5VVuNHexmk9eljwYGve8
EvMtIWZKC4byznTFS8LP5CX3GSRXOj0gluLtQFKr+gF4O6g7MxaXwWRz6Wr0VQRMh+A7daM0dVxE
HRmBIsybjwBq3CGpTHK3vM/shWV7N+jW3EwSrGc43WSy2U80QPaGAXYDCjaIisX/0Ww7x3ti1YN+
l4c7s9d7FggQT/w3aG4vFdkBf57vOivbekTC4fz2kFUIm6Qpq9mSfWtAFrGYKQugW+Mx63it/TTa
Z1Z+EAksfBvhLFPZPjdYTZrM5VVrQFTqJNVPGF0KR7y7U1u+p0VG2i2w2PIVhrGdFYvG2PPofmIl
sqNB5D7u1LSv4m5aKWaBHc4zSsJi+xGg/aM/Fe66qo090qnD0M7+TcgED7zhOkv/kEWelOrVxE43
uZTvYT0l62Yqn9plI6chTuBav8pyl/iKWZHEjm7p7+SmtcDAhl1b5G866h5CmQUXnrMwJ4rGxl2M
XhhDmikN92wW+MTCJGVpWxTRMbacU+qr7WDTXT41HGJKabzNIE23/WgYsG+Km14Fx1HQz2HK5sgJ
78FA3L8IK+OCkt+LVFF7z1pkV7n92jNpSs44OxJPkq9WpgGINunOp+ESn0t0Gi35rDLu9Qa9C8Qg
jsILTn2Al6DT/SM+5c1g91tk58fae6fM5cpHSRmobZqwITlBSDKtJlznobkEzZthNjSpIGcHtvcy
28E1WZcl5XY/A4+hVPZKF/6nJ5RYD3V16Uw+JUMpGSvYkYIbNoHW+WqupgOGz+swBgTjBPZGuM5l
OQ5E80t6NjxMDguaeqZ6SzvEYKMLGM74nFPFMhggqJuSlADeCPS4tWoGcvXGUhP0dlVdsZPuKKAC
3dY4LM5o/ntuqee+sAS09GqEiloXMAJcWsm8IVqNVsz3gtqytgUiS1cdEFBj5Y3uc08OiwEVRnGe
boOKXZDJ+Yrol8ZWD2MLPdRKAQoAmqiUvY4Ca1Ml4c4K0SBzLNtBFq7NNt/aUYKqZQxYUwCG9LND
8y0dJh11ZXlNmSCFw7du6e0QqPggxKzcrXCF6xeCJJi2NObS2lEeVxn5N681L4mEfItj/1D389e4
iBEb4bR6GaytuDTXEd2UrZ2webcGvD02aalZn/rOX1Ul5aGVu8unmssSiIgWDpmmRkkF9QNYgXfA
0z4qIEaVmnYWJDjxjFh6LiqyPuR6broRFwSvB6cEg5TEtG1EROVdta7zEKiZvhOd2g2ufWuXuV6x
q7gbU8CpiYGIW8cegB3mJEuLQ0cQaBVU8a3ls1+oRM3LwyuCIY7rF9Hcy3KwT3YNHayzmnFVcu68
Gqf2yk5mIpMRg2aHhwkOh6oZ8MZpeJ7U9N7XUBZKi8fIbIbkqgZtF3bHtjYfMQWsHQegKSgJc0tm
kF8Nr3JCWRUySrdFEq90jhurNaGGZvzRLbCRy06mcEgoOGVhmKwiQihUtsS7DP5IVIh1ugBtnOD7
nPv2VhhMwoQQyk0XZs/RZPLpcP9PFoL/r0hyFmsxZq//MAve9237Mf04Cf7ycz/PgOKLsHDjLX5P
tnXLQs9kvvxlCBT0XbjwDYgvs8kzXd/8oSdD0q6xTIE+jmdpI4z91xgovrCKxrCOOfgnL+g/GgPx
iTDm/cZsLD3WjJalKH8gIWD/zmzsEI3zhqlc5Bl5H9tu9xb04hlq9q5po70f5uVK186Lw1UMqmpz
DJP+Dq77ezN9RksYPmVjc4SY5T26xZjf+8HZKQl9FXn3SaJ9PjUVIEs3jttjXRTJd84pMKLL5VNZ
lFvgbVwC6cOundHfoiYojfondl1VbHKv7A+hXep7KRKusyJ3hxsC3fTU0i/kT5yuRqbF/qQDF+ki
iL42SWm/dZP9NSPKXljpsUrwKQJJeCROTaFBaHLuyhA2qN44xbMzkiNPb/2W5BgpfK4StJNc+Alg
kzykysEq3OtuWTK60N4Xte2tq1g/zDoGw6Q2FAXCLEQ83bRGeAdOMVkRcjzUHve83Lkvg5xQm2ro
iCaAymonX7xPnYAmym25SDEtoPjkEyG1sb0apirbzGZ/3ZrsLvJ2+dfYEvOd3jgCIqaVveRh+mqF
HXihaT3RgzjE/oudjm8JNZJTw3NIff/GrCOyJEVCDaPaFjLp2RKO+zCX91MoP4shea1HDol5Or9H
fXPyfI6i9qhWAzc/JvXvnhXSQjCBgOugHND4N50VqM6pGbk7FQcT39EFCBYig0l3ToQEL2ZuRBOe
C5deKZ/80lhydNUdB1VMUEBDKSLy82W5NjnnoTKQQlcD+19irfkL8DHuMZL4GEWWeQykhkjcdqga
Wtun6XY2wPnlU/TCTbLDv9J/dFmP6XKYb0E9X1K4hiqQPQ/T0jU6MqIwUq2nCnbpGPrHSsH1lGQl
Gwm1mgMLTav42FCa0U5FARRrqil3iHoKU2wtvw/gslqVngMv2xgcrUWjrhM4tPEC+Co6hv9WwxLL
QvcEguDO7svLhC7iG6Cp3MKxeoQ2Xj5ooasS0hMM6dXYkF31xLQPfCffWjZmHzM1opPVYXINJ2AD
tqbNuwcHYTYjheQi/TTxiYAX+F7SjHdw8qy885G+joNPtDN01S5ikCPnWGTgDyjlK7R6iOFuaxxk
NvWeDgviVWLZN9NYMW2m4sQe6YDV/whg+DCZ/VtmMuvV8ntrW2Q6BebsUkz1ulIAwU0+rqvYs4a1
rzJMghMKWJKA2BpaPqfg76GCVPax9YpbXbUknnC3usZ0mFP1qNsF4QEerHIbWtL7FdHDm8xY1CB0
RJqezOmmH6O9k7iPrV8+zCllkkP3pEJnPbv6TbjtV10ABpl0JMn8Za/hZJx7GZ814Le1ZYfoiD7Y
XiDuNifAspk3jeabxfD9FJTtc9CJR0d6qyHO9gsMlrMvN0OFIJYvXCu+5rw7ZbJmD0/RvBF/S6gr
nAszu8orHFj4Ne1VWafOuZ+EhFBp6L0i3bnms7z3uXFeGNJ4HpcyubYh+hYMHui9cA1H90M68TN2
ie+s5V5Ddusc0uwLSTMuYu9bGTVv2p7iXTAEQOwczzwI9nQraszuRcsmuurvRqJqFRAEd26PSVo/
gn8iuOtudBV9rziGXzRZDqQlRvkr6X87CFk4N9BZx4vYDxnNbc/DsJi+S+Wd5yq7MjyeVS42noZe
T3L22Db0jHd2cpADc8SY11TB8dpsagVHeSpfkwpYFTA15mZ4K7NGroec7tzMnj0dI9ypdK2WJj6n
oXto5zamNXFxoLs2D95bDzIen1Hb1o5BG4XXjE+YNb96etqHg36h1Ly6UnWdrXw+F4cYBCAHMw3V
PBFXFNpszJLCCfRFxxRU15RPposZPMwvpevu3IKz75yvIvq7E9u7srseh9s4T8/VXItLpjNamCgx
uptDL3lE0Ooufrqr//cNsfzb5mQuQ8VfzzcPuvj4FzrXv75+vP7pnvGnn/9V60KaMjErC7BLjuUz
yfwy5cgvlKnwn5lxbN/HbfS/uDuv5diNNOu+yrwAFHAJIG+rUL6K3t8gSB4S3iQ88PSzoOmWjjR/
6w9F9MXMXHXHEU2xCkB+Zu+1f5p1iV90Vwrp8q0GlYdF6fFPWwtUJjwyuG0Mvg3K098SOtGd/bnI
0S3KHJPFgGNCjPizrYvwYdQXYmY/hRrUbIk1b8zrTp5waF9NPCXJyNVuVI0ir1j16jHSLMRAiXnX
Zj2jomHtxIBu3V0AN4xeHsYYbhWt4aBhqEsgtjq4sfk5lB1bm3TneC2T7MHXAJeOaQhRaIB7BhOx
7vecegzJfiQJmExGwVqB7dJA26yV2zprD5GB3jMiRqViBzE9NrjtiQpcx8ZeBPRpKdtMsJ8vrXEC
ZecT6bDyYmOXwf/AQfkC1OKWbmxnF320yUrkp3ovd2A6qQi8XUe2itqE2rOHwMtCTNupYZvUyBIm
TA8Na07yUkkmyC3TJy4KXwZ45gbAEhP7WcIU6C8d5htP41FTfZOqSra59pBY8GL0cNcawW3EDJqg
qEs3vyA3u80seiJgs+yxJvXDBgdsBsk6CQf4HPZdSgoIbZoK3ozgNV9YwaGBv6HhuRmes8zearAV
ihMl4abtvgd48IG9T1iJZiQFuPPWJl+nsCJfEbDo4LiIbIDXjrepG/T6pXnpmqM5MGHqvqGVT9qn
UGCMQ30tecjNqXeZk9uK2YDjvrimost0fLbLJ4Y4z1mf35ExRqh7wbAJve6UOKzHoLPq3qFLx43A
cW3381UprCtYo+se1CqKm0PsuJucukJCNbRj0mPyZBtPBxd0f9HdqviCqYdm7Dutfatfu+J2cVUA
zJ6919oBbzJdtLze5CnRsBEuKoVZXF+Ew3wtE9rENnYTfvxGPJfZuE4EXuvsLWBtIPEdxWjdPaJ3
a/pL5eG9oFItp0uZHln6Ekf7WGEQgsMQYhDXTD9wz+F83TMrgUjk7NE5KXY7HEmEPYTkN7W+HR0n
7YbAo7Wm3y8oo5HIuAYFLN5zEoo/ZHzLuseDsDqHIUGQjOyA/akVqgPyxuBepMohERhSdGPs1eyg
yw7OJeovPy37K7hmBz3O1nXarKu23IVpTi7cqa0IftMe9KVs2Vujd68N5a6dw00Q9mAp0lUl14l6
dhfWYLyzewi6BgLdkbOoa6DJs79j+BhvpXWqLCiD8I6b4uB011aKUKW5JzPvBgTUzRQDl6+rO6m9
pfUStY2M6sNYuNG2RjCTDbG1W4NNOVYB3uwoAYbq+El4dmbCwPlRgWtuMi7M4AMr/iqyn1LHd0b+
X7Jlkzm/M49ylffoNTVecfOqQMSVGXxAMMPchzB7mtTRAANQQZLIo5exuA7FdVJhb7CQZVVgQr+8
5sZo9+Z8qbxXC1PBhynVFnVUPsVcIU/Y4+BixvumTJFekhcUPY1tB9tbmOeg1P1yaq8DXd1XI8yE
CI5kg7Zeu4Gauy4pOZsx30giYjhbO+UrEmdbq2IlGmKYuk4Tiu303bBPHhg4i3digFnHcKdyISil
n4R86S1IKO4ez3scl6GQ9xk6yd4N5IbaCBMMDNHoKKsnL6BVU94ax/ROLY+cYDr3Y3zWsI8zK7pG
bo+Qf1cQx2R1w16zLnGMJiF9DGM0pEREDUb/xN/CM/TUZt+0PVTa9dn8lUnmoqQmocHV70u7fq/H
i55Hn9MCLsvrQ5iTawgFvmQjp8izCdhGJjpLxUG9p5pxyEt5dkgrFil/t1S+HRo84nPtOJgkPwBW
zZ1kk7hyk7ofLMcOPaPXWd648bWmYuZwW6eWWN22FFBAbnWsUts8NzckiJnYH2rAHrVVrXRWLKjt
UJws6tbUO1omHaky9L3Um8BvtZmqpreHtegVo9/S/QGg7kOM3VLaAtrSuHWd/H5W1UNXBjRlDZw3
ZyG+uZiaEohaVvNpLYyPMT05UOEEexXBnNuR8Q3wl0I+TyJc9+MnRJMbghnXAp5cERHGtADm2mXD
qJod3Sd9Pc8Uq9lUBrNNw1w7egVGNCZRndIvSpBcUO9JQbbHUeb3LKS3tcV94YXpVZOZZ4wqD16r
oJvUr4N9F8qRrQPuK9K5Dk2N5LT3/MwOny24eMYAzGky2fIDZiiaHA9Oa5xt3j6uxMMwIvfQ+mrc
Ntk18BqkH7EfgNzL4dcP1kfGGS1DiCZ0FvVO/ZrMwHo4eGxYhHvWc2Dc9BxO0I8xOD1PFjrBxS3O
RZqBhWfmmKz1lim9eBgmDBZcKTRKNgk25rvkbxyzkiD5Gw/7a9q/pFy8faag+NYUt+STF/EuNWwe
gmezA3Hl7jPloNvYuTCdivhXX9bKC3iLj4Yc/Ho+MuRDsFmcy26krbwddKBxkXWT010bFrwn1DqJ
+rL7atO0wdGr8eR0Lfm2I4RvshrtpHluwgltsLhqXFo/qZ8Fys7WyTZeIU+Aru6JXwv6FHVizOvs
r2ZruAZG5Sjm0Qxes/hKtSEUHvnlVigq+gG4rQhvuxzULq760UZzGWVndu7+oOSnnYbPTi5fU717
0mW8RQoOYeY8VoiBNAArhth0I09HbJ2s9XHKWecoIzgoUATsmTCVzVcWA7jaHhZwzOCtypKhCcjG
EOZsjmAwl95/+X+QCTbkDnA5kta+G2imNEDCWUj8xTic0fHsjNb00Au4a7d7w6e3m8xvbhBunsTP
0OmYsgLe9GHP5Hdi4TVcaonryCaXrCewb0p9qbyvElQbcRnZysoJVliguwGRTlq4qcfuuw5t5Nqa
35Y50nFrhzpxB3x6x0p3n2cDR+qws7uYqKd0b1fpOXBuc9PbdDUaTxjvo+S5BKbNJg0CeIhqr2fu
qLo6RYQ7e5RoOczBptfJF0PWZuJHDlEHJObBrFq/a1AGZGKnmc6N4ZXHIEn9lCdHFUdbEhWyddky
FBeEGWn3WEegVlkrjj2/qq7NtFinqQGg/N0avlWfblqmWZMKfCItVzEg6/6s1SnbQhZZkHygIeeH
rPlKgw7lgvk0aMBTRtyIiSBsKICxqJ2HKbzNM3sPzhc3N9ZXsNEiRGDSYfHtKuMLjws6YYIk7SDw
hxoa36AuNrHmAIRXPeXpAKQgMb88o8bnvHT18VG2cMY6LzmbjO+QDkPgMqrqAzPqzO4Vmps97KXB
HTg5lu9Id1d5EzgtQEK2tTP7aV/WmMisH/BgDyNxmSPXQOmjv0mJ0In8kZQbDwOMlbbn+FfhiJY+
62B6xpj+Ve1BHD33Rbr/97SE/5OlpZaBueNfd3urLyqtKK6/fp5l/9YpLt/7j05P/8WWuk6nRxuF
W0ZH2PBTr8ecQV8UD2CTTGYNfxhoM+xGYSTZVTFa/1lSaiApRX/KT7MdXS5w3j9JSP9SUvr/sm05
9KaoWnXbXn7bH3UNzmCI3C5RGMbTPBF1EZsvcV5752xZtZUlsUdwWxPiIxx963rFnZ65rl8UwNpG
HLt90917fR7s5WAF69yGeR9ns7lBSf8GaOqLQau3TTl4NG2+k5n+atTkcToJp2xgoD2yw4AC3Bgu
pQwfOhjzivO7H5pzVhtYGzkdMzO5LaADYdv3VrbhWMdpoqQ0GZIw4Ls0kYMOLk0P4MEykik1GxE8
IQeDxl3Eh3gjNYJhJmlgVAyv3CVpI6+z26ZOnsqYA6VVETu7RTIJsr32E14aRjnB0RXRtA5VRzwE
VlvMhvbikkrwzeeHLpZPZCZ2X8OMg3EISuYyyi87UHzCfIMQdMHri7TV8pclWmNiuG60dRN4pJ+S
n/TSONU2BGUqgChWksDhtkKfoaL0U+JeNFVwa5FykIocNqVdXoHPofBN8gNi3OduBDLgaGgZpT/y
YtvavnbScEldULsgoUabQq/0TYuPourd5zjSIAZ55lFQxKaWOoad6e2zDF5dAuZTE5MFFcLVNoLN
NvMnHiPlibXDg0xjeRl18k885dZfTlIsbKyalTQmYbW2RMnrTuIPHXEkIXnpodPQpemu/Txk5muo
yueSEMRV3TMetViRLwO7mSHq0Bvabdsnui/t3NtZjNQwH0AW74hWCQp2qVCeLmaDjsXRxZfuhOO5
7rDiCEC67YJiqwPyLivjbfbUSA8ELlA5954HDzXoEN1YbN1pstNXOVpvo3KtbZZMJnQOD9q+qDeJ
XhDWaQcYipKoJYYsJplEUxM5oTpzhsp7qQcuzWFGPiwJ2Qxj74ll0GqcMnIZyXfKO/PeXjTLAkdi
2KXdiWSywHeIjKwL1A/DSMaQ7fXBxnSiYZnbKQoR8aNjMbtSdYH8tj3gfPF70TwrIhvCAl2ZZ9zh
JqZ91sD+eVn+UKU0S7D+5tU4aw/sNgguad1D0BWmX0PhB9pIw2RkyIKmwvgU5nBfc/nXqCyvxkLS
7yv83eDgiTbQERvjc72dQupJq9+PAdd+YAdfWZ3awNpNdKlBQY3L24jjdtIflCxug75kttG+KoPB
hDbk46Yl2R6yWC42uG5tKMjtKQjkW1/TK9eayrfMQ8+R1gK1ZrFj2JlCd1G/4TG/qQlyT4WVXmPg
ui1FaD6H2tD5RYB92rWNx0JPdrnHiyVFjf19ZT+4rXUoOKoCUW0GZXxA9d5ms+A1WfLAs+Yu8CAp
zUI5wEMc1AO6Y7CI55bsm6ChcxvPrIxfusQ8DuV834nsFFWlP5bs4aaIgjhto50b958u8+XehnxX
21TLWdZedZqBrz3e6pZ+RExxHTnyZukjSmfeCLgY/kDzFxLSQRlwX0TVttCLfRO+pTFSdxTSjYqP
s0NxEUH5yguurQY2IQHQC/gjXiPNL852yQwBcOVLYnLRiI5cSdONH1yO9EdrgSWkKnyJ0o5KeYpy
P6uYI9s8jDYqNQhYJ/OSbIhZMVkT1RrpM+rO3PkheWZfFHJZnQGV6DuklHaQnTWLxlMyiwgI/l5r
LOilW+JZH5PQ15suOdiRnWwR9Xs72yrf4TL4ZNC8qKw+NkNFKwUg0aeOogEzizfsfwiPrdrb5GN6
cFsb5rNZh0u7VK2iOnf8wtNbvy6Ma6xHzgpd1ENeIhqNBkw1ms1oInKXJPYoutZw9dHVVQk4TxNk
rzGzALXs58kJr6Y6wj7XMM6p4G4Gi9STcNG5AiuR5N050MvXsmkee5tYsiJAzoTiSfq1O/1gD+YC
OkC4m4UvLBDeSxitJSbBDnxs0IDtxLeGgyhXzkq5wUNBLmQe6xkCn6a4ayayxnBhvOpOcpVzROAy
cnSQK3O6rsbiMXS7dC3nFKF0Eb4B4kVACx08SyLl12b3g/QLuePReVdH4yNTFl9NqMBgAoXrtkG0
6uCEdzWcaFbRvBEYma1FjqnT45+NbnysLAu6ciPgCqTaXd0EOOCy6aOsEDho6RcOwd2yJqchbnbw
A1CqxoRsiBdmmCdZ5Pd2wG7EGPdo+fCvo6jj25f0ORNy7QwiJOfhfUBYvsF72l55ozgDh9j836/6
aI3+quq7L7s2+o9X1FT/svb79Sf8Vvt5DlN6bIyuiUV5qdd+qv08VAyIVnVXF/jmlxXAT3YiB+Yg
8CyMxvwAlKb/nPNjaHZhBCBz8Fgvo0f9O7UfKtj/Nufnt+u8AEpMsFj6n/BVkR46BLkjyIngS81z
p2+U15k7Sar3XFYa4qh4Q+pVRvj7fGYbfoV6L9/3Qjw3heywITDiqZZAcS/CQFdXvbP1Yix6TYrn
NggIRoLyvzOa/jxrzQlEZYB50q5uZ7Mbjk4RmCxiU883mdKxXR6+4hwpmtk40RXacYPZrwOxKg7l
2dWZdKPO9k7MYC6pM/9gA0/V4TnZyTXndte6TQd9ft6bBOgqu6LZHQBCjAUCCAxNJDBbwdFqpkfy
bCgeQe2nNa5c9ucwPUamg4TJfiLGP9iqfx/tlAi8EhIPsaLbX8vEpB7ex5HhPbaW2y7rnMdSr8tX
AyvIuncqdYjMUOx09LMlhed6mplP4THD9YLOi3keNz5qLKqhufocBizHMa+XRtzZkA2+wQqwXkxk
60GqYFcE8XaMEbGGvZ6A/1IJ3ienT9DbCQyrAqnzUzKV+4qs5DUJP+IIXHleG2FfrYBVQ8dGq+9b
Ig13jVa55MUxjBzi9Moife88y+wbzd1dLgllxVaqlPtppZhtx8A7giBaIuch8TQVhlT1knndj3SQ
9qHCNsT4gXDHCLlBNJIDoeMlsA2xn9LmMU+bARlsTw/gZR6OSOOIWXJddlSiDck3XtjtkOuHa63t
3h1FQJgTlWdoo6iJ3R8xbb3J8FCCzdeL+I6SlV1RU+A8tT8cq3/KLY6xPiIMtUTp2PJqKcoC4ggJ
1YzHAP4tMQ8p2H5+TPajyiS/lqBZnYlt6Na3XTuf22qxdw0WcpFQ006hCO5Dm5WvAT0XHczYylPa
Vm+FgcWbzTPDacd6VlJu9YGZ2SxQ3MmBGAy8zUxc8ZtNteUHA0ODIvkKzAYaMx2JSUGq5ceoI5jN
E9+mi7ahmhSRo+1V1DGZwXr8SsH8hDc7Wst+OEod3/fsnrRBIedt+ofYq99NFmMrKTi+8Pg/5nN+
qzwGAkWdVuuOCKNu5pr30mTbCoGkwFuHcQZXtDQueYuhrHWJnEuarRWx059LeYsGm70BYC1oaTPa
Bgy9ua4OVWBthRncJR3sm2gmrW9ZCITZ2hFTehsmQbuWsZXvjTbAd2Zk3BDT4t0VGbOsCrlRrmfb
Ok0/Wy3sfWtEgFkNtGnSQhNVyIBklsIuDoiFETE1IcUHtpJBW0IGLSpII71trGzhvc3TphcUwZXF
YsOCzWRP49kBNLOyWOfonJvsuai8yY6IVkizuk2jOt+VI4SE1vAL2mRGmuUCYGguFc5oT2P9Ugc4
sPqc7IjKMO7yDD/PFCvpR0PWUK3P87HJDTrX9G7O4ZCQvmdpzlOr002Sz0QhWDmYmvsAdUtURYsi
lRBOv1jeRwDeivQOGESgmZFwEtdYhk/KQdWkalDnTpOCilSz2MQjf0E0kW8JPTk+6zYrHN0yb9h4
vaQVtQB+/RWa7nNQhN8QsA9ILA7QRV5rz1sCUqurRMFhNssE+Suhjiir2lf0QrfECWw4gE4DL2LM
64vO0phdFmm4fZTQlpTtWQmbPdFIDICUnfvREWK2xscULHUatBBd3I4V0lozt5pDgdrt/wPR5Tj6
s1jOhgVjYJpljImAZDl/frKrpl7O8SbQw1plTfil7BeJepZs7JZwB0xk/Qpwxa6OIBnlXLJWOD5r
LIL23kyxNzabIdGeRD/hgG5r5sBBZB4cZ/6y6wYjKFrjrZt2od+a6gZi+1rL03SbeAGhsxHibAJ4
nofGfcxMd99q1S4agqNLbiD0IbRMSHjLJZ+U/63E+B1rIxerUx/rtjymMUkfTDnrDHUYNgTKNJlA
/GPcnSbjjxGihlMqpu3C2DDFOabK9M59YKCOWo4tpEHRFXYKSDicaWRrcLgtx5xKbHPjVZF7wEeX
3pHpImn2mtNotme8WzuvktbG6TUf4XRziSFGrPNMooqzjZv/u7WZoMz5q6Js1X2mcRFG7/l/K8r+
61t/q8ZsF0s3Rc5SeJk6Bc9P1RitPUO6xdeDH8J0sYT/sxozf4E7ygzD8HTH4at+qsZI1/KELcCM
2sRY2TCk/8YkztX5s/4kLRUuClbus4WhhAfqj3dLyESiqth7rMCfROvMjR7riVtXLWMAyTzAIUSA
CBt2FAqKfsTj0kHSMzBDCMjRpM86KFm998uQQVumDQ0tvlkhegoqAhOGAflCnDZbzHVwNrF0psvQ
QmsZX0hRYfdgoNHN9r1YRhwA/bYmM5fSEk/eMgMxO0YXy1iEgSTaJQYl2GGn88zsxMpKsg+iQvLf
bCYr/ZDvnaLYd/Mi+1Dxk1nn96QDPCXzCEA8QaQJZ+EdvSzeQxCp9VwTZKetdcHXw1M9yDmCxQGD
dCzI6+iEZEqgVxvHVSHlgnXV1YDdx4LnGDhBhncR7oQyzDdKyK85U+EO7+unQiO/G8ryKXeKPfT1
Jy1r7oAtCn9qIvJca5I4B48+MqqPXjUDxrIbdHwaAAmU3rnLcN7h3QgjDFlubTooNR9Lt9yjcfvu
qSLslrKG4SZuVYX3ILgQovVEVjTsHa3fapBHbVZJXgobr3HkuRraKzutWAWTj1XhufUHu2OmlMBU
B+D6KrWZCjexoJs4T/wjoYr9W1G7J2XKp9yLtgM6NVnzdOkcDqK82Iokeh7TMdsxPIM9G6CFILiL
sM2wP5F/eFPVDc16Z51FmFe+6QYWKxSmQExbseW0pm+QQeP3VfSUZupcNVW8CT20m5k2sQFCOwdf
qK+ecxcdZurJJ7LYufxSxAiJAyWgRAUQ4X9ZG8AnC5OOPNXbBzoKgqc14mw0t7stkERYznTGRHHK
onhY41r7oLR/ap1qV2XJnYKeow08W0m49iur5up0g1ORkfQ0olbW8P+6g4dGKOBS5UDcEACyq2Ob
nb+FlpF4geYAdnVcV1UzraPGeSJExtsZHcFBBQPRdTSQgqAjCe50ZA6TRuwYm5wxuE+TgbBnXDfM
0Jhuh+LcxAla3goxkl2zUXXgGbagyGmAesKide99zszbyc2u21rsRze7sdL6ncMdAfccbFqZfqHl
3fd1nd/hwXsZCm/E6EJhnumhiTE7tXcDWFXq9PpQ2n2wSrUFZ5f0z27jPs3ETvhV201s+Ime1g11
TS7LxjI0c8s+dKuXTF8Lj4/GC0IysIJDprdXaVA9mFX1nQfiOmX+18/tfZA1W5JaP5Wl35QMfLk0
5t2QB9t2xmTS6ixh4yb4DD1KTAya5NxyUlmD4dcCMzbydpdmgUlBWmoASsSdZov7kF28NjCoxKW/
GjQsVcUwHOYg3lctKrGoe0Swmn3EejpcrJjSKQRj4mtWBk4l1ridKOGwmAyojNEgMWGOGCOp42g6
x2ok8S7txUq2jPVBOkCP6KKKUWd46fGdMd/jY8sx9vHzAuCUvXOVztH9kLnUz8HJTqYfZPUxfCtZ
LGJ78WWD2Ts3aWm1Cdq+ZH84Z9N3GkwnrYC+4knohnaFOBUSqtOZA/ka8QUXyWs4BAxUGVvzYInk
ZWiGxk+gDywf4TZqxFHG9oeyGp6rDfyrhufUqrBkiV6tqTbYKq+cyiWhGgOcre1nusNtQIVFLle1
w8+/ThELJfhoqK+jdara+ySw7kkeZ0XcWPuRzcmCAys2lojvE6S17ghh0rEROKXORfQutsWCESui
wk2ali+lCNy1UTRsu0kmz8vxRdfYiY4zcNDyHRDVN+4oxHsBzrDQhfThBPoHJAtko1w7XjsxNIcD
WPPw3E6d9SbM+jv1MH41xBSsQOw+Ac7YU8UuWKZuO4U2yRYhRkytbR8z5NfruB99cwCyGrOsnhR/
aieR1secAnrxGrER7jIdsg1Re76j0DyhoLgdk/EF/ChD2ziDckr06ZqPBFFZED64efWswuhi6+EC
5NiS5cvqCHRQMnc7atWv0qpfdTEisHGQcOkFwSYt9zTiD564MDOXHGbvY4jEQ6zJK6NfvEs2E9ps
U2XaD2/Qt0nV3DupFsN8bNQiwOGyieNvNQCarbGjk1qFAshzlD/pMRErCd0ze/A3SE2Pem08B1X9
mSLdpjY3Pnngn4PY40nnmZsONfoNYKq9lRAcZvbDKWpGMnTs5gbx4AkD2w+TgaAf5FzuNGli28Sa
7ltB8EASLdG3Cet3cCGVRkRdIM5O8qyiiGAX289NZ2OOE9kYWZftBe3fauyDSzkgPylivUS2wIyy
A+VQ68xDS3vvusUFQhgSpYDRaaSac4B2WZSvLnkSPqEwatfZaAMm4tXj4jy2GTxvZitdQe4EwXvt
0FxpnXaCw8Ln3BhXgHOQ/szXocc0u5oe3RK2V8HcexWk6dkdsEI6RbXTuGbDcvYTK91oBmvvwm53
Mw2eNsmUCCg0kZrFi5EayK3QXYda/9QXNSyIzt5Yk3fLAQuQ1mW24NDLTcvkxFXkNoaPVszRhQ/y
ALrvwZE9j+u6jx4Bxo6EDpFXB9dhIkYjQVdlmTOrgCk+4o6VKB9RVQa9eIoD9aSM5IpTP2R63t5J
t9jJbKzXjqndtUogaiH+UTc/kqhi+GL+yqPUuelmxmElc6PIjX7YAhr4bCLZRpUvCiAQdVLfdFp0
Q1hfux6wUfitjrYpFLwpM9PhLBV+rDn71DBOpW4CC4mma4we5GpBR0Zu19JJ1NQDg+T1IR9MFBOZ
jIETnrO3lpy1sMtP1H68KxEEX+UiD+8Kw4+QdOMfUcwRSEyslPE8Dup+GtE6iSg9qbJ6xU2ErKXR
iKU3WQE2MQDDCgV+3f+ojIX0nmQvZEKSCGZmT8T0Fps61x6skFcQjsml8QgTRJ6ZG9ln0lPJiJJk
7h7qOTOqeiur8MSUiQh5Q4CpYX6CSIzTt02ODEZXtkhZw1IRNXhGoHAcdKW/pYn7qddLIrbkY5jw
GzSddfAIEUxk92GOpM1kHTRpuxu+ylI2oL3TlzmQexZVSy2cvDsTTDDAcrhn5+KzTN0LwzmqTTfE
PDA/eybY6nkcfPDmXPCKXPtM7Xu4vju9JdClbvLRd5C+aXXxIRx5TBpCecb0ZUzQ++st+1ZyDhmX
mBgZTK1Izm2MTCMMJ9yfhQH+THQfnlta2wj8PzQe+RYWyOdS7PGt0eBxWvZkmJnHzcRKyHcEftAc
TwNe+sjLn9nxkGqEcusmGvUWmH5PqeIiZxyyFp+0wwHKZR534jRZ1RMw74bI6/yW0CwkaSFh0EUk
uiuDRCSJe9Tm5FfS+tSXVaBaloJqWQ9yfZh+x0zz39M8grH6/I1Y+r8JZGroTNq9xen3F4KPmuV+
mf0s9/j92/7RYcIvNZY0G2T7Hk0hyInfGkzoYQZDe/596UldvuL3BtP4BZ09EhD+WRcmm63fx/1I
PaTL3NdDgk9b+veUHkv0xp/6S+LBXIzh0uHXeYu14OdpjBMEdU+GibGqGbM4F4A9G2DVfVg/YYot
u0esZ6Y41tFhbC/9YLBQexPo7wvieTr3JXYn32jD3dR+9DPtpP04ua+zRwZufCR3pWWx3kIwrseT
xExD7lkm0NShfBJqNXNr2mSG0/CpDqZm9YwzSYvrW9t56Ko9MU9oWT3U/+eBU7zIEC3W+858p13f
p9OXRHU2sm0GO6jRGS+YVLK41qHVbTTucx7A2MOw7vG4s15ZVIKmAZRHioGeZzd63W4N866GXQil
a2+Y5THGd0eC40avwju7ifeSWqSGdcMjdMuh4/fQBVepy3GHpyjUaHQCZAJ9/AorwR/Iom7FFYAk
YqronwME7MO0ztg6m5zDQdtxq34Hs0TF3T5W+mfU8INCa1umzzniEBTaYfwADn0zdFgU5DmzrmRy
zutoR7LqSLYmgWobr90lksPB+Mi7Txlt4va7DTBHs2kmyeDTDXykE2OzJ2QaIqFH9hiSvRQ++Cek
BpxK21zzrjrvyx2CjQW3SojHeZxWjYs+NMw2k9pmQ7urJDK3Xy3yVCLuVov0ixBkaxCX6RlI6AqY
i12XnesKZCzlfyGTpyq/1+NHEKxF/VnpBvjso1GfZhJOuoQ03Si/6PbdlN+ZTbMvTdyoEL3Nov1y
ieWV4rnKPADizG/7g80UjzEu+ph0g1Fya2fdujatIz7JM0lttKaNr83147CgsLo40LYlcFl4CwDt
OwB2bRYdQT0fjIrmIomhT7lPZMLdm3F418YYbO0Qj+CmH7aRcWNpICpEv84LvgZFRbyRwVHRNhjX
TsjAvrVf3ag4AJhI11rw3hF8kuUQ/sNtjjDZCtkupa23rbuC8hxumoj9zBxW6euMgyBtrjWHzwGY
FNRt7X0k9tRQP+aaypG+s3b9dtwrm+71oEj1wCEbbhc95NCN74yhV2T/CUVNUmxNlEe2pIhvrkOi
qCacGzO8Vri329y7y8a3qCLjsqY+xgRZ3CBZ2tbAQ+geNEIrTBFt66eSyT/JXVvRBySr/Oh1fV91
NVRPbTummEY1esKB4FWt9GPlgeg9af294A+nP3ifpyuNgeccVsckxvpmfY9EmNOIvapcv5huu86M
rYV4qJLDnUt/n5TG82yZe1z0ETfhwLQ90W57JjhN15ycbMGVsrkIeaXwOlZCz+/VzFs6m+g+8t7e
sZ3ijpFHQah5hgHHysy1XeoXO5TbyftkN3LJeOdzZ95V03AxeutMxIEEOhvrOGCJbzYaz2/lSyfh
COhih7f52FLyTOY5thdKXvgwKfnQeiiOMM8agfXMtSTGB7d8d4V2g18PXQvAAmMb8RrkTVlc9drt
IE8OAo8cC14bHxXT5pGgxNRK1waJPJE7HXXWlhAKNwPa9nhsjx1cct7Uxnqti8ZHxCRRZYeoQMf0
scNFJJJPdlSYYxsIZSdUbHvaE51JQFU8A71fVVa2NShxPeOVIQ9GBNoaxL8I+316v7irt2EBd+ws
qUL0lkWTYD3k0nJdOf82+MD/2lN+SXv6yyP+qmzbfzFI/sf3/jZJdhxHYM9DuGnqrmU5vx/0nNi2
TcGIaBNMgLB0xsX/nCRbvwii2Yxl5Q+uij3+7wc99QGSTtijTEiXCuFv7fVdfscfD3p+A0h0T4Kc
NBcr4R8PellOBIQYBvm4YVoTXkgRmtlimyEjXuNnX+GFau8VBtStJVtTrJHP4USqiyxB0wJaZzVA
Kth4MxYLKz7nREpwTdfFeTZC/QIwuFwWhOO7dFp1Kox2ZhTFI3UYavvWronsoTOWBUKbyHnU5hLf
k47hnAW6LVArEQdVAvnE9NxrxO/YzXtIiSrlRPaEcHyTy3yFKA0S3wxBIWVbXxv6Y8D6fhbstiRi
zJ217PYRGiwUzegqmqZ9t+z/+/E/yTuP5ciRdEu/y+zRBg3HYjahg4wIapHcwMgk06GVQz/9fJ5d
dSurqu9ca7PZjPWqrK1TMCMA91+c8x3V7UNnWK5qVHUMjqBPFoZ9w7TjQIWt94TzMVqqB6y25Q7v
vrtpceYoQo+CEhe1kQIzkp4hT61YmlPYMCeO4fBckWTCqgb4zkUwhLz+pZC8/XtwAuP9v35fkCls
BL0mD43QANo/f1+VP3VBMFKYRTb9spUCKhhmg3Fm8uSJ4la5igVvBCzZaTvMlX1vcKdzUkVlfc9A
8tqsmd+zq6L3KMJzGnTDriu9C1kHrAoYxq6nurEpIew35ocfcuEyIyfpaCQJNgv2A8oNjxmbgWSM
Xr0+y66k4XyvgtTCoIU1xF4scwdP524U5dMcOqdEFcWaP5fhHizVzTTSwsS5pTul7Noz4CKRsbEr
vXrYx3z8yzB9mvn87P9cEnf+yzKZgF1Qr7XBe0ZvZbjCuKqikD/BaJz7AspBFxkXWcw3QT2yfFXJ
RKYWfpeZR8bqZm/jDeZ1wooflEP7VFHiMSEOrnutA+O3kODe5fdTMT6jKHluqvixj6kRCnpTt+Ik
zbonb5h2o0jfoRUM+3GhvZUVxkuTCPB0viP2KFuZdfi+gG8vi/LLnVKDVa/vYTtAZ2zJIMYnF94B
7t9DmuZURjvpu42388kF5jtqDhbCXIC7q0pFx2AqfxhKvYcaqShNeZUL69iH6Tar1PVsBBUDnqd5
QQWbh8WORN+dz8hyFfg5el/E+3VigWLkfWLx/zb7TXrIF/ebJsoBxgJk2boSWQ7RacSh30V5eHTG
0rwsC3o/aeblZrEQZBgsS3mEjC31u7FOzBEaLRJu/mXODQE3OmscqY9bo+wZ04xfD9p/T7IZadHk
1q3sZCwAjcbDJmjG587qvIMfZI8U0BtrMdtLGjDH62KxdqrwJusMe13VErqGN/on4Dgohu0OfAY/
0zt+QugJrTJWeaMM/iI1bsq+Jz0HWeU1S/Zqxd94noX5XfTgIhhwEbcgppk0k0pBKZBIJRJwbAH4
DVXa0EBDflmkTC5oOE8bUunu+5Sa1LCw70HKJ8WjjPaOWb8MLPLxYZYPedK1a0xEI6JvP934acX3
Bu8bV29IcdXH735Yv9bDzJhx8gQgYFY1XcxC1k46i9WSXLZuRSYaQnm6HcSZwz+PTX2CNvowrUXJ
uer+PGNbfdzGQ9c/sdNt1nM7MYXgZMZy3OxCfaos+nwZ9EnTuUJdRfr0cdqmOcX6RBIm1lIXahpw
iYLOJXA2kE3KHQfsQ8GxhjvUInbANR9Mjr0cCPwqiPWDRzHH+0XFwUI7E8vOEcVVwKIb6DD6XVbf
jgMIXXdw/Jd0bbwpbL2HPMQSWu0zludjSvPgFi/q51Y99921LNm0a/aSYvXu6x18DjRxxzeaceBM
X2rxrGOU8FWFtspx8ABDHdttwPcahIk4BGb/wrBpNxbJM+ENziFvWC8G/nQt4+KucpqPpg+YFDUh
shFsZLPXt5uEZ2+d1Om5NqBreLO/rM15IJvIQ0ndjTWhiNbBTFhDMtdcl5xlyqr8lT8kkEKL8Yku
bTdP4sgS9qHqxm+OGi/m7LvIz8ZrzvtPoUB9DSSEYXtQwz6sQ3Ksw3ubIDfme4hKUlaEK7jAe69W
QFO46KYRQkrr2I9mtZycmbmd4TD7VC6bnVloLovZvbqdibiqpueurz0fIWwgznRDz0k23ngyv60d
VN917rNPi3EUW/kMXCKGMmOEaPMDSaxhMRWHajG/k//xaJf8zIub7VPWC009fUHG/x5l/WlW3iYn
1mYzhR0c/CmudrHtJ2uJ/k9Le56MdpxWYW2KnT+2tL/2wk4I7Vbh3hRQiUSQHLwp8tZ2R0eNy2Ld
pqxOG+dc1jQrCZyT3CdYqgXu2OKhR4Xdw1bEbSz0tqC4rbMvu4tPQZOZAC/0vkoOV0NX30bxiAkZ
/pZNxuDItHkJOdRIX3guFxfd69LAgqxahvGsctt8eURmz94KVdqGx5bGir30WnEU0RjA0AT0pyKL
ZL9GsNfwITDxSIVlvhlydz+NgIScROCLDdkTWtlAOqdH/BAEGowTicMCDkVwsZz9cbnmx2c0kUV0
PFZ7npW7L9rp4rZRunKs8tnO2PAsFTGNboB6LwrRiHNGncQkvTXxfcN64k0YER1RiCC3ljW4SjhQ
eC/f2azf51VwkxrQNvt6hDhsfStM8xY1d7P6D5/JecCjfimjdHzRb9FDOh/pf/+v9Xvx0Saf8uvv
oo+fv/OfpbrJRM5F2mFSDlNy+552N/0XTwzuBkUX9bGgYIcnhh7j91Kdetw1yRRykObapGHz236X
4Nr/0IJZyByISbyADuDfEX1YGmj251rd8hgZMvoTyFPQ+ura8BeJ1LIIZeUdOaJJS6XSqgeawHqV
DhFS2bw21rUTnGO098AG4r2qeUnqMXutDEqFrLaZzo0jodnSI/dFgZWqyvHW7iVxFT6ZVX50tOP8
eTF4yJOk+mS69kTRRSZIziYtw7KQ9nhCY2e2Loy283WT3EmJhp3UDXFrpNKg93UofatCrgHR5OxZ
wuJztpECOpjU75mNzTszpdH3GoYj/pxuy2xCAlFjQEZ6Ik62Ve4Hwdh6BDtK81BLxlKT3PQFaXlX
VtBhrnWye6f2q2s3I43Vzil+3FhL8W6ckRM1lCXZSBlVFcz9LXGKyCI4MLu2718znK+v/mhOV8hu
x9swBiKQjfvO8PcBzKJDFXL9d2Eod2Yc1BtrZCGUNh04jLSst5zX4xXtTAc+UFHRjqa4zZKUcUce
XeVSMAmDBWka87Zx/DvhjK9wAfzjwErKatHi2In/MUXWTWwYm8ZqPyC2HWe3uYD4PFhReNMioyRb
YLrIkM+WQKXHzO4vLfDLCbY0MgmY+q6s5l3IVYBWNhnOblVznI5gvsL4w25K69BC0GSjkuggncHx
f1SdZvJnbHNKFIvXUYmBg5OueoKnHrMxMbF4IlgQMwQuZOnBJnPSx8Bs/ydxHylaf3p0A9MUMPWY
gjPppmsl9ODPj66yZlaci4FV3JyOE5pP1Hx0HJWsvoggCo5pULy4zEBZQAJBtrejj9GH24zEhESt
XN+6IVwpoSN1N0Q/HWenPSTOAPGyI3XS3Q9BQcTMCLuCqEpoxOQtRdNR6lmyKduN6WhpnLPg/ecu
0Cvpq3G0gO/G3qZsoMK7Gvw6Jsl6GekNPRPlah4VP3AAZQg7QM367aNvAYsQ/nDwpbo4I3F7if9e
Vs67QJKOWDZ5U0r8aKJIrviHfpfDWK4th9apZfwkbQIX2GAWPY7AEM0BDTnxVxl1ELi5UuPRcr1v
Y2JYRgC2JhBh4LNgmO2lmo6pmG8DTF3cc9k5GRXP0NCQDh9T+nh19i4BwFpdzAy04I1SRNKxkh31
cPq1nbppFyMIRRTyQwl0KxbQgAMdN1NNvVdEXjPafNxD5u+LFOeP3agnrjB5qf2O5AdZ1MfQSN17
D5UI1+ag1p0Ha6RcAmNn0xhuTeXshgnuq18xi6e7oTnqyo/IfmtJYSTxzHlqSuMRfEy9xlSHXq1Q
ZFvKfdPJkx14H7U9EpgXC5BfHgV3WZP47E3jV9a4PrDW2kokEp10RyjhvoOvknDZKwdWxjSfnSX/
jgFiazbiIesWmvBEEiRdHN1CEm3NOj1kTo5AZRNGKTJ5d1zJOCrWS8pnrMKe1KgAlq6ZVsTP8nhs
wSqtqsjc6plnmoX4V3N7F8TYOSO9dW19dZWYxkMcV69qyqhUg7B5wxnp3qQJLOulK50CwaoKEEKk
9I6QC7B4u5t8IvxYNuJlyeXwWLTBC8VYRGDC6G3ruFV3SSJeRtF89xfvHE9NQ1/Bs2QFmXV0HOYP
9dC+x8ByNeSg+tY2nBOlssDFKrCISxzv3dpgVqxYuXMEPmchlUo1wPGm998T1ADV0bxjF7tNx+Zq
6AmbRo7BpsTSsr+fkWX42zjeSFpzG7yXNfDmlp8f+Rwza4xX7CPY9wfzJajnHwEMNFb271UFddeE
t6uEugkSar06bna07+DkiJusEJXJxl4TXvLWO9HJkXAoOwcRkEThG42MQcFb9Agh5pjLI62+aAz2
fY8nAh4Q7SLB2MYAqsIaFRmMfYgX35weh6KWT0afWBv8pvE2djAvTb6185OMXxXR0bVI5LsmJ8+h
Q8QkEAHaaMOIPM/ImNwYrc84AbLgQmSzEKO6XXpRXzoKStbk6r6V1smeAggCKQKvwQSI5/YM7xfr
EmUJ+uElNla1P++HGXkjudbJ3ohEckvjsZWofI5ComwyJlgEbQI/wHUIRpEOH2buA1Zkmr+Up4hh
xa3T9c916Z4RM4OKH+r+wQ3GT9ME1mL4zbw3g/GovFInaAFgS5TAvJjM6ialEcZJx6W2N1qXIcfi
33qOZr9bxWcSaG4BrRMKrEyMpB+0cDPAR2VMrdzO4N9tJZcaFJas4+m+qGek3z3jEuyGQXZtp8UX
JLpX/HI3IbgbyHywNOd6H87+eUppxlpxmDJuVjvr2/VCduDcNlDGvQ0POF2T8ygYdMCP6Xk07H5N
wUyP2WBw9qb5sfUIG2IOdcnm5pJNBAXLmY1h6Xp3YnCYs5u0cQFvS7f4h8pXP8APQJEhSSXmsN8M
U3sqkwjeD9w7UmCeEul/t4PlKTS6G6S5BzNsn103rjaRT8vJdCyoWgoB7DvdLLL1Qp7f2oDTszPc
6Zg31j3L2L5ZW136wl4X8VTMWHEOGK7XSGqIkODUcm4I0/zia3nhdHoL6uwOKlK3i5CslgtBh61d
ABAfnbfcql94LXcFBqY6m55HofojrsHgODrLg/Jg8aSJOIM+vBMBqeuDEB9+ZRz7itu4j+FDeA5k
Mj7bqRpYclXeFmEuuAu8UjIF3WNB48TtPW1IVL/qZT4dmSxcXJsDw3OUe+VOrXEwywLNWdM+28pY
DmWsAJAl1UNXgB81Yj/ewnOS68Ig4XmMkysIi2odTsHFnm12WWLrNGtEd6AvOiRYa+OunqNTXAbz
KjRUvqrleI7dGQtBX5BqLfjpSuyQ2cLtggMU9U3WkL/eiHnv9b3FXqO2CQj2WADWr3lNGdi760iW
193CzmJux6vCj+48q8LuEJf37eLAKqkcFBaY39PODmkZOxIyG/9+oAJcWaLdLcuYr1DtjCgdQzzq
xlPsAN53FRlqRRwdDGu8BB3617Zi75Ewo4j8/N2bR0xYIS/jZDFAo5Mv52U6RloM1sFNa/Nw2qWW
9ejipsClVrmP1WQTiRjZH2Bt7QcMYO+NxyCuJpneZfTMazsBaefHM0TFqShLDXy6zkS/Rx/5JAn+
vvV01ZmVxviKUZw3AQv+W8jFOWoKNgA5hU2X082mjPUoZwswAz1xvJlr3Nu62PUTRdRK0v7oflbC
nS6KUyMyqJF5sXtdMtsh/jFdRFMOwPPRhTU2BdIE2EUtuuheymbeUeS59/7S5QzRi09/kJBbsSfA
amsCHO4LzyH+MHFbLHO3BUo+XRNNUe4nu73OWveb1ydPjp0h/zSH9lgoAfXfchZQkWxKF5sAYT/+
rG3W9EthPLU271FDWJZnW7vFmh6p3jfuiDfW8VlwhtyDK4JCadtwp/zS4P2LObml68k/0Mu63hQk
hPi+1liArDD/gl5OWmFQz2O/Uj5L1eoZg6LSP47Jz9XoH7BhLD3VEQEZCJn/H9lZ/7/dh/l8mL98
AX/vsOO/99b//D2/rcGsf6BNMVmD+QQxOr5P+/xba+38w4Im4tFz64WXiaHhj87awTOB3IZJeeAG
ZqD3Y3901tBRUMcI/f2COLH+nc7a04iUXx4Xjz8dEDg7Pw87h96tYL79tbN2bFhz6E4BK6PrWLVD
/yAmumY5xftN5SKUDWC2rNFiPlo9goPBIhTJumnRRPJMH7MCx1ZY4OkMzLvI6G+mJXpQaf3FI4ou
IyZQ3DXi71TNNBgFiUKw2za9rUdU5cjqu7u3rPImc3GN+V20E7ENtt9w4nM/GU++yRve29iQyIHq
lFeQGdW9ecl8x3X7jNF/N4lu2y3NncN/Q/YzuzQFGlbaW69fSBXL4EpnbQgUgFy+VehGPyI/+FYN
NC3V4JL0ou6JWnuaS5sg3awXlHvJcjUWMUhlu3vo3X74rvyx4FWqqaYgkd/GI81H1WBTcNrpMfX6
6ToCCbGFpu/vlqp3T0EYP40OPkiMzgScFPm+65pLFHOfRgvKvlxDA2KoZuzMnZEN/bLzWgVzpHou
Z5Q20rtOmmQvkC7mEXuQpT9jJ3w3Mg8VHS1v7TrvXmm/lBEeKKJ+Xuo5vlZBTUhJKB5n4QsgKOOd
Y0qkQl7zYaTDriebgwqSLJFGLNY6IYmGlXw9bvqahnHpB8yIjfUIcWA6V47zELYz2SjjV8pOsYpT
c912touaicsHcucuaJpxO3rWcNWG9s1gwvGl1XudJBya1LkPOthmJDSb23T2b5QDJcsT3YnigmEH
7kJpQClMrPlMF3BHf0rHKcucubH8DAPiTWuCFEcEg+vAh0+dRu0DPtsvQ0zf8ijMmOWE9H86jTGw
UGtPffi9J1Z5bS/lj5roRo8IR6GzHBtCHe0AQA7Dg1vPj+UVbBncMAvBXwhdxFqgfu2Ih3Tc+Jz7
A1LmJS5wtkzWupTBK0a7y5QhGHELg2wGHXbFRfjW6virwQs/ncrYLjoYq0rIgMSowkAVlIukSl/l
k+5L0ZUkvu2sTL94Hk3zMZcxul7Nx+sbzya2uvzoRiYpltduGqOOiTFKjnVY79s2OBKKsS5dVOVT
B9TVL4c3F0fGjAUuKfqNKXjSI+t+JBWMVMBdKuc7tkGPRsrsVYmtTYFpECG2DMlhscWj3bJ7UviE
DJfgv/nQsNZ0pmQ32/GB+Ih9TjSZIKIs8dRnvJgCvQQgipQYszYdgUNODhWvPELcuDb1eg5D+104
+SeXKDTTlA8W0WgEB95XC9G5ZXqsdXQaEWpI4s+dpFGyCFcrCFlTCVLQXJC75hXVuE2agVuxgLou
+YbWJWFtjQLmrdPbUiPJ93kWXsWNf9PrlLeMuDdB7JuA827hbdzx8MN2MU6JTohTFrlqKTB02BaQ
uYmMIUuOhaVxbFFH7Xhg430jl24jWiKsTbKs28C+75BxO6XcNb4C2V8mrBtD+xWuGrGc6gwG52oJ
rY0/5/t0MhY9h/jm6Aht2ECvJZnalQ7XZtnyPKtgFyemw3I8Ap3KcHxIXURqcFoCkd0tFcLVxTj7
RHabOrvbdLsr0nDQXhHrLYn3JoRxY8zZSzMEBArJ6bbPs1eLNPA2SWqgkASEe558Kx132+jocE+H
iHtEH6Xob1XpXwpBvaZgTvak8+xIrqQgTPhMvW0zDJ/MC7pVQEi5PXsA+OKbwQq/E+Ph0jgl58gr
2RmQb16TjdIR9cYu6mDQNRHQwD+/GU5tyFE49uFbWYXZWRSkZ1kDpiKdpE465XlxnZMTteMK+/Qh
0anrtc5fH3irODrKHPjf8M0t0SMUEpV9RBoK6MO8ubW6Jvq0tWCxAzC8Q2vJjySaZKtYXt944Tze
qkR8JHF7WxIRX7rOsR7yJ1T9K0dnyGeEyVd2uV8Uyi/ZvpRUyJsuEP6xN9B5woyz7vKlmm+GWGa4
P3jtncnXSNHMee793t2IORmXQxX10yGOMPZJmdMIVbh+PZsWJ6xpiZoO1Vk/AV+JW/dEzKnYiwkY
U5wNj8NMGKVpqB9dnD1w9zgoHI07Yp04lQuezDmwoel6YfPsBuLKb3mJfDvaZHXzyU5qz6Ru7+BE
6KQ4ZpgOMLoUhFoROBT2b3nFd4mxnvRy/LkZJz13ckMmondxBfDW3JAkMLbjwUqbdzBrvJsWLNeJ
Liye/aNHIKIhyTYysH41+X04Dlfs/y7p7ByskrFG2afPRKO+1x3egDgkiXmZkOQ1wfghJWshOjiS
TYmz8XoIZ5L7GuU6tF6nvy5TtbFdHhfXPqKuX9utRyhNyBwaBLXRgFwY4f+05lVQ9zeJkyBtDB+D
uT+mFp504eTkM+S3xRwirLVupgLRTaFhfg6S7NzLLzkjSt75+JuXT/cxewpcg/PL4sU3hPBss6jF
TpcreF4R4oSOYAVmpMjXkQd0++InPYYpZGsnEAYZUGEjvvW8CW4OIdWuq676fjrlTUTs1HhBcUf4
T/ajMLMPL4oeCPi5s4Hte1pvYc/yKDMkv4IPJkNiXsgEAEhgkyMcpI9JxjqxiFVGWw9vbLabU1HW
O2sYuk8r8L+KurrgD2ITP/FPSBARHKoxwmgHdb6JBfRMxwayTHLnoYk5YuKIMAGv0eJ9+Gl3RYJt
oEm+QhSrtzae9D7IgQXFATdIoW7aupG7zG63nhWDoWui9C4XclirPHgdM/VqJ4SYDgNqeVETspsm
+04AcJyl/z9IdP7uzIWQx4LGRp6Fj936S+fhdi3lphE4HCcWY17+F0NfY1xHs3gfdWVlJ0w2fqm2
/0W74/55vM4fyLIocLxQr63+hR14amPiHXAdE2NUlrvJFuR62BuvNs8dVrtOQN7yAVFVsAWg+qQ3
jo05hcSD0FEZZAcc8MxbKEfs/FzV4JoYJi3MliieliWMniBl+rveI/2NbI/p2qXoq3X1l+g6EB5C
cWvWabPLHA6C3jL67+ncPtgDVitfjWhR5tskYxTlkkFDdcmdElJwQm3+GibCU3u0tGEsb5shuf2/
fy46VujPdT2fCzAdlPEO+RT+X9cOmeMateT4Y8g5cDxE0YvwqTvMrnhA8vHopdNjAif1xtcPjQmi
11hGuevT/mbUD1YfkwAWUVYPITwRW1gDSTfVHWM5/VCmzAFb/aQq/cyO+unFGIQySz/RVU0drp/x
Xj/tc1t355wXwORFALbSffZJRVhdc8r1u1Jgv7nEP9+fai40hOZ7PqP4Xlzzpu6tiI9w+aigsVyV
lvHNgEcIcAQJ7sRh5o2IUniHN4SKvXTusl80oLBU7albzJtwGvbchd8xVm6zvrgqy+CFDIjLhH4B
9YBkJEN9yUR8eqltCQqRHSFba+tSucFpDnl+ZHCYc4TjpisAg8ELNvLwPTFgtprepzOV143pvJRj
+aqq4D6qqXCZLk1Gd3aMuNEFGFHd0aIgv0xvP7/d/9z4CLZjelDx3ztLDl9t96NqP9VfcaK//c7f
N9lW6HmEPIQAFF0OheAPlpTJstpjPGKaVmCRn4n77Y9+m3W1MD14UchgcJ+4/F+/99sYT8IQtYvQ
a+yfjNF/A19A2Orf3kvOKYw0/B1IWR1P209+2WT7AMtrzHYoTOia0GlsMDfuANqsDe1R8CwcxiqE
hAju4lXa2b3b9i+ySV6XgZlRbjusggwc60Vre1vLL2EP+AO7Rct9n4MZsLiWdDQeokQLBzm8u8m5
7SQhNBZAg7Wt0OS35FmT/YT7nnSTzailXVZU3AlljvvMGb4QXUHuKJlRBx2CfZq3Nn2rWFzxV1m4
EwotlWydQ4PP79RV5l3hpNnaSz7LgpI3THAgz8WTS3DjqvWqq9JuiCu2MUmzRx8MuQ6r6BwJm4me
+kra6kMIssRb5tUdIAOoHvO99IOnCT7prkopDcbZD5DSRBNVkdNtHIBLa+FHwW1hIuXpctoCv82H
+9yYYuogi3lvKdH1UzRvJPjuU0mUCHxonYht/FhytJrwhneewapzUtHetu1vqPdPqWnSkVonC6X9
lCdQiSpu2kXxqXXkUPtLvHOShaB5L3i0bXmnQlChzGiCXRjU2FssYn0azNzburDps2T23Crrecr5
UDCYI9BlrJvG8YkwhVMxVCXYkuiQWAmM/uVV2YznoRsQXbtArMzXaCEe0qY/Y8naASF6SEsQfFXZ
cHpTITdDdXAa1E5u9lVgy8xcb883fxSJexeF1V3YWw+S7ePGAlmbdZx1bA0E+s2UMJ1VJ/Oj0VkP
TdGhh0AVgLr+Bh7oUQD9ZrR4XUUQ8ySdJOPb6wgizIz0r0P2B6swhEU/f4G3Ssnqdj7xx++HOgAt
ns/rzDRug7Zw7joJmFyFXbpqjOHgtGzZKVrKg8yST/Ksm60XqDcm5++9THE/slgr7FSTHajCIoNb
KzZDVr4t2n1ft02wczegfTp2+PkjmgqSsPXmPmSF7+ldfq+3+iZxnk+4ECWMWXb+hd7+V0Sfoz8r
/R9W0LiEqU3RvCkgVR9cpAOFr32YiAlqrSqItL6grUtgGX3TrKde/RhmcRIjCjiDlf3ESnCFpf1C
IS+RLdrVOQg8BVPcmD9cifkz8tnzl8iLCaXsjpmoqRHq7lskoY2ZISR0mgKfrR2LKOhnmLPavH5H
jEahRCJuOfQbyETHsmDAUbiyXTEkTNZdHbNBNfa1E1+xMn4VxrQvyvAzi1yTAAh2HKO7BYW1Nokr
Xy2t8Sn79L5VYlklpN/u6ZWXNbY2HF3FxHopDcU6xIGjBjQCAlUY9on0bGJ0pwoioVQJ8byo+dnK
t4gq8Hj0xzKNaJOB53b1/AAukte0zLZwBuBdTcBFCeoVayOdwA0Yd6ZNtFwT/ICqlmMN5TxL5K1Y
uJ5NQl1xIV/sNtypkAMlMeZbsoA/CHZe1sGYXGdzUJ/0FAoAFJ8SnXvvV4jw2XYydPjwYko1Xmw+
HjPo967ZImclTtrRsmODsQACzdhnoy5sDCKeW70TU0oOXWA9k0r9MFX1tElK+A0jnRArnBplKNEk
Kwup76MVDFi+Ro4tQSrdZk7TW5V2O7RNOk8lYFozRigce0R/MoFqEovXJYU/3NgP+JEIbLHiaV2M
gaRUZPVslmx6iIJtafrjTy/LH2d/WKghjDdnWUiwaf0tiR+3/hBed1bfXbWGeEgoXFh5GggkZ8b2
LmkQFlljiB3XTDkOTU7BaCnnx9iET9CiJK6w6Mo0WKYhjn1wO3jRYCBIRNst0DzwDatdpQEftkZ9
wGyjZS2Sb5Lx2LrWQBBlDOqIDT9a+YINLZLeS2Ug3HCDbaBhIkJjRaA+AXCANBIky9aHPMJTQACI
hpEECt/WTzpJ/Whg1/Khu0zQS0qS9OBM8djH5rWY0rs0UHfzMPCxcM2u8hhjpRq7tQkVRWo8Sq9B
Ka1GprSwU0QRsioq5Qs53uUabfH43Gnkj5eDBCCguCZ9FxCLGoDjQWYxNaJFaFgLeads9GOf+SAg
Fxan9caXJsk/bYrcJX1yoL5M8Pe2hq8AwWgkzKjhMC6UmLitdjB1gfu21hol+zmHJ9PE8mWxveuu
nd9KQSYi3JlGmI9Cg2gCRpKdjncIA6ZeaWCiONXgGgeCzSTK89DUp7BuQvCDQLV7Z4NKc8e9xqQq
mZ8baDhI1xt0tMGOOcY6CPJd3bnwc+7M7MGXelAAUUd2A9xjYMqlpu2Mec93h4h80SQes5xJL6+v
+J4MzqcE3jAjhxzqzqZF3F0B9GF7ehgA/NSa9GOB/Jk1+8dUNVjGMPtP3/+wNDdZmfz3henpvfz+
/veq9J+/7bcdENUlyi/KUpclEGWfbmL/awkEL8uDfhpwr9rg5X9ZArn/gAXHHi/wf0ayatHj70Wp
3g/Z/IFYp0wbunbw7yyB0AT9tSg1XfpEGxquSedOL/3notSbE5k6kwXQKMR7FPaUSOCdI3CfYMkt
VwLzCTeGkWmNgdj7ufnujE2zHSfCrIi0QemBy3M9YW72ZliATg+ZLfPiSz+b2W5hJrUO9QqnzrBL
h4O1ca28Pvgjx4qJokwuicO94J8ZX16SLv1gaX60Aw39IzNqVUTOxRHyWqXDh9tF4A/HNFlF7QQx
gZV144QPs1oeTaut93PLeoOBwW1CGbAichHyQWq/u0ViUIyGjNHsal9O5qPD+n5EGbSucmKQl+a+
SKzPvDMFau5WHtOYqc+U91d5w3i8FuE2nhE6JmXXvYQN4CyqQPOdRdczNx5k9Y4tsbkAv2L+X0If
Ygn9HETddUv+i7tU39xx3A55AN07/JGU0NcHm4FB11FeuR0BZ2YBdjMGLbuRwQB7f5hvUJu+tCOg
7MWvHl2ngGPvI/XDqbXCE/ouo/gcQ/rrQ/9NFq6myQh1yIKy3Q+WeYdye0dHobMtCAnxzPHJH/vH
uoXpjQ59y/r4okImXMty0YBm9n3AWSnQijS5qsr+gCCcApU74pxFzKI988ckQpKx3VM/DmeZxqe0
so9BEF+3YoZHNuOmSJprPAyH1k8OqRdelwnaq0XtpEMatht/hojq1pXR3s399Iy+IN2ZFisPk+gm
IiWHas+Skfp3sp5F0Vw1Mv+QEXBUBibXZeNe+225V/1cACmvAU01j8oqr8SQ7uwZ9zicEBS7pLUY
RQ1ogl0MkEmxcTO3JwplfqU6S9ZxxtFbYw5JhvJbbnlEKaFuOFbgbvohBHTe2M1l8JdllzAp5nKE
ydOUIJ2I+Z3rc9ibRGSJ7diobdVW3zM/u1gIpreuqm/t2eH+NactPeS4qXn+DiVXBDCtzzo1b9Jl
IC7MPiIjSq+LqBpPamyWNavHBSuNFaq1GCAjNiFiorkXn50HwV810zefghbwJbE4SB8wf4BgyUZ4
MK53DQ5sgq4ubgqJxD4L/V0wxztVtWIdLO5+mZodnRkCZ4nTgJltsFYLP3EVHYWjqPOXFzcbztC7
uGuZXDh9fhZlwrQ7DXZi6R/8SqdwSf80FuJspsaru3Cpjl3GjqvH+x944PLNMb/NNKKUDgOC2YQq
0KzvvN7aS+m/+H7+nfUBIhfQJiD6tuSpf2PHQ9iO/x5NMtoN8fSWSCLnIiG30ktfVWeVWBMihx8I
i1AfxA9ZKF6ciixgEx2D9LFg92726mhESz5Dh1duTsXURYf/Q955LGeOnFn0hQaKhEsktr+3tEVT
3CDIIgnvgYR5+jlotUYtqUMTWmvX3dWsKv4E0nz33nNbV20nNzlEIQbN0ndeK9Xjbayau2SQN2oG
WOIG6d4tQzibls9ppo72kTAwxEGKG82d6qgLivW9V4mXzm8uvVFcy8zcSqHDY5fjDfSD8H4EY0QA
kTQh7tTzEOLwqZqnrkgRIUeM5qEdxBsbfoEfkLc3ugbgm8GtovEXdnF+Ww8M0hkQOGAiktfEwRzW
MZolX6q3tYgOkTSPIQnPtbblBcLlZ1Pb99By4i3k1p2VTbed6PS2yNDhcubfcwzOHTbUEe/ki1OI
YxYbL7UTvlaxz0PkP1qY14bJP5i1/yW75gYH4wGXFjBa3FKsXrwWRs+Dh3nIqrFsI58fkpE6w6H4
zmV49N2BokJfNxIWmowOXWJ6uzTW76yV5PNN+e1rroBmbaGBAwKTKXdnGUTgrOKsOdtmtWlnj5ph
8aj6vgU7xsHeqbp1WtN9hxbvPhTM+Fb25DDWm/ZsBHdxztIfp9M2rPvgME2RsU5GHImek1A8y5Gp
JzK2qk1Mbq3MG+qwGhw6/pZu13I1t2SpgujdMhmCVF313pbOCQP2Y1i0z4G2z6IwpqemYemy6CZY
VxxNd3Geb5nRuhjSMN9ZOtpgmcLa1ha88hyrRn5OKadTKyKHNzb73hE/C0mEU0DqkPFjm4OQwiRG
wTbOm6y17M2cVN8dBeZqCgZUiVTAk/VWfukHK5MijsYYlmy+ewWLs6Pn+iuWBu0fxdVION0a56Vg
cB7Y8Rr2ZkCIb6009xaoCKPRv9JRvGasCbnODrqaV30bbyuoNo772XU/EggbEbN4/O6nObZuQ6d/
qlv1MQsStFyXeefH/FbLcQ9PkzaQcSBkJ9ZAwykj7Lx3JXnN2SaARmL1gsPJ/iSMJ2NiezYMdidj
6zTDArTaW3Ce26S/Hzq9Kfgceu9OczVlk+fmlaxlQ8CoAGgluLwNHpTeNlGHePqkqO3DweHf41dN
2PVSvCem9QGddJPSnjpMgLOYXAXZcKxzH/U6pHzy3rDPkmwG11yL9Ecxy2NoMmjNCXSlb3D7cJbw
r5lx65bqqZ6sNzPL+SDzt5ysh7CZQeMNFsWxo+GppmkiGH2cGP3GwFk9T/T2jey79G0aVoozgtKp
EK+EmR8ylwgTl8mG/9ZEFiOwjoYCnBp20X8ZRnWYEu8s0v4g2uRtZrLc1OeqxWA8TDDodLEnIF9s
yszCtOrelL3+kH5zHEumb8iXFc9Q56r7mHxU1bVHG76YNnndyI5jT+36ryVYVjke9hw8OXNyEEg/
geWfphK358T31Ml1oqdtg8++zPj5dvYXbSkH5ccXKfGYjt8ZqArYJ0FsrsP82xzCHzR1b+B9UNAR
eg+FbZF0w+XgOvZLp5tNlVY/6Ao6FgWeTHrTXyfT3Cq/oKO7vqc0fS8Gl76f0PvyumjneJRyQVIu
tXnk+LDWrr4LBdXSLSey+JEkKn8nGI/dSNdGxJQQbMrstVvfSPFKz9iDFTg8+DIMgiwGPzSkrR0K
U2bX3tliOpc64tft9aizddVbT4EsN7LN6SHERRMtbUvFSbZHT1OJR1y6smIkHLmr+uHS2NN28WEk
RKG9/gGYpBpeoq65zk20GUhA5AxkuYTvqxQpDZEq8m6E7ji+0KCSm3iTwktUjQcif7uUiIHdpVvZ
Ttu+LE8NN+h6kABQjF3XXxvVb/PktXSKXTLQUG5UC9uRCUm2TvloR+suNpy1YeZ7xririncQh/vR
Ef1lceHYA1e4pSRQcHYKLm6+1Lq8jXznDS8P/YcbGp9ga1efwWzRyWfu3ACMFti62KsPtBTd4Weh
ddCIlt/2CcZjtIs9b/7RWvyUhE1sxkVNbSskadCIWkCYDjlFtsP4UhP928218VXSHgVe/bke55Ry
Uv9bsF1YozybM7huw/EvVts72CpH6mSbQ1XesdftHU4Eeg4oP/LanG+m+VUS6RhDdPomfFTi3e+w
fUrD2BdiLiF1R0dM0PXKlL2/TaiWmyf5XDBCmWmfNBoigp6laMgMEbjZd+oub+6EGPvtFHQZbM6p
PYhx4TyilxNfcO8ZWFTbGbPVwVbg/E04R1b9KwoysW/c6UoL3c8ZrZS0cKCXHzZ57PGxAZpHw+KL
phBmJRC+Mp9+8C5nPFujrec9gdbGNJ7p+moZM0fs+7QBTHkSbJPZt/Z4q9ehFed7Nbf6UsUt7VIw
811FRLU1OHG5saaEJyMkZaqNj3UQd4T9VdPLGjX65Ld4iu3Y/uHH8mAAYGv7xNlw7ktJKGSPZoWT
ZKh5YAI7pkEyoXSUA+5lmOMzUMpn3IEnN84f3YSt0BCc3VIqoovOPuQVlbhmdV9kPMUooysCt/Ue
TtBPL52tjeD+v6WZ9UlbyfRadRRllQxcWZxPZOjv/bZquaL0963lv+R+uFe+JKCLvuoXT3FL82Bq
fqZtT2aOwJWTz8+M5z2Q95UA+bOEdhjy2B3pn8ZqgF+ZjbtOkgwIgIg/0qS/VPQprIYC6WHMmVAL
u3hPB9s9/A/B/iiYO9LMHnjXt0D/Fbb+X6ycKXshYfybAcVX/Our7b4ARf9TEx91VMuX/j6kEH+R
AM/oVEcu9n8joPFrv08pFg3MY49HpAPk8ldm299DoLwREm6bZ5oO2scfphQWYDZEaAQ1BDSxVLT8
B9KZay9TiL87mzkPw/0wJaMU4C8LTXyR1v4gnXXu5AepT9sb0vb3GPgnZF6OBH17ZfyAzWmglFnH
r4UbfTc1VxeE9wztBH9dlk2v+ZhgMefwCZvqNkipyfRUcPzNetqYzjE21F3jyg8MbtdssH7VQv3g
tHVPEcpzW2dPGTYZ0AnGJ0x966HQvlphuH8NGPzh+L6KIb2rghkDE6GDuFvaI6aXVoU3+cjIkitW
vZmXs3bgxlurpvc5rF0IMHYU4igvnmOpTnEY0UCQFx+R29+7BlDdmoE5wh0S3DzER1rBrqNBDZ02
d20UAlZ0M1KD9V2RG3tldh9zGf8MGHeegjC/mikSR6GZARv3cTI/asvfNX7GSMFfDQZM/YJrTeub
WPGsO3KaiNkOYZTgl5kyI9A6QrTLT34cilWDCFIk5qXrs8c6635oKU895k8Lo1lnU83p+PAePXmy
A4BpbgNWzD+kQO3KWjP6HLjvNm9WkH7MaONhOuE6bR6Zg++RIygkhHGtXapsii2URiSLbIuataYb
lXFL8xgrj1IS94ZqMngU04mGl3U3Dj8CF6YE+y/DkHgn/J4k7JItNJIKldQ0wDoYFG8UlzCGIWwA
RrCkfqOh9n1qSb6nDNUhabz4ngn80t5VuYAb0bfzLgX8AmS1vnV8Bq1uoH7ME6DNxIkuOTxuFP3+
TZBUoJL1vrPMC17aV2MW8qaZq18UDFNOOt3b1MwTinoAlEzhamTtQj96dJ1ha6tqORhyKHX5B6uq
s51RLdEwCk1cqOWWgtHRLhvRfaDEtrHFJbDkta4KsUY4Yu7dJJxWaCCnQxIXq1dfM4Hqk3FoJk5s
YiO07uiLw09lnQsrsbd5XBM0Hqvz5LQ3bsKZNOD/Jyf6mvTiLGYYxEpz6ioEuKy0cHhZcvtSl7Dj
CfYxzcrSd83T27jiZ1NSnBdofRN43DwbR32lxvyZ6nI7JsOzwfgEZbV5iJrgbPTOE87CDzXaFJiF
GH7Hsnv0xoxe+fnQporgRVu9zISu1z4wGA4b08FznT2ySMSeDlZvCGGR5j0dLW55aArka4z0N5MT
g4EItX7yi6X6l/cJ2yul2g18aTeoVuTYUfEG46NCvdk4TTuDLwXaWHRqoQ5gE1/4P7tOhfWuF/19
nuIFNbihNmRbMtl8ixRPdAtVY+0k5pOZ15ssMJ4r0M5BmtxNVvkwemFxUDXB7EpdLRcoN3RIFCfe
U8/i6iX5UupMKkvlF9F66Fc1J6vc24yQE4KegWOkfvXukkKcAELHxuOkome8Ss9xk5Dz4UyhF0ZP
Eir7pPC5d0n1FC0cH9ObzpWP7B1XksnsxMCrcYarXsxGYTXctgCBesNYBwCC6EFjiOnJ2TipMQIf
5LzbEc8WWCEKg168hTPUevqZAdxnCIAoX0hEaUuitau4ngIp8pfGKew43dZRI2iRcVbrOMf7I3Pr
osEcYfbFG9SLnTkCs608bAdlZf6SCx2J7/E1A5dEPc4Dcwds30l8qXx9Sl1wLz6IJc85hrX51HaD
4g8ggtxxzAdjZC/V9pjWoTRFVeWwZmbJgQHlzofkxMJtEvd0rzAQGc8tqKdogT6RQjORl/OlfAQO
AB6Ht8BY7BELRiIQ052EK6HhSxR1Za7G2r0N+5R13Hwnt7yzwtbYUoqliI0yB4FWUS7YCkUZ3zoc
NdXyIC3gHYA7WjAXucP91IF84TTYFTkD3sz8ZJlAX+GJ4ClqE9JRcDNUNwL5LF8qo3XWErIGkSjk
mRiRShhgslSZbGyvV0dhDx+Wn5Zr9KU91XdQMlM8erqHxzTF/ruFpwrWwj71p1tmaQ+54XHtth41
d1oH6bc0nRuvVbuAHoWiqe+cXp5CxacveyY3VtTj19Qce6XbnQxlvJhFGp1SB/12ZudsEdmyTEBX
UpfUCbuLV/LjjJ3hCbATFKkwvU+iAVtbT7qhSdd15qWgqShojjr5FrftW1m4FzihR0lYuq2jj7lF
efTK/MHR0c6snIIx7swKpQ0BUjM7zHx3R2+OXt2GQ2SnqUNMGTkZywOkk1d+4KuA43fYStLSWEfx
wDL2ZzGNMv2q2HNVPw1ru/XxwItDP5HJ7NL3ICO0YRFXIfQBDZlO1/Uw6fTOCXKugh2Br2nxYQzG
KSrqd0O635xzETl9ICy61Td0nT9FKPBX2lZZOdOMIbf4jjrrYXazWye3uAtUKJONxEaTtkG5CYMP
u6NUZ8qic1wqGCy2fvfJrgaOB3vctCBKjAZbaN7G6Cq4epugq9Bzo19tPCMo0MpdGhhdZXYJPWBx
UfeSzWTg0h4TgxLhdpw0/x8a0a0zzWoTBeE8XwIdV9E2wfXzFA3VVoQDxhjXnd5NDj8Q4UfKP/q/
npxJZoVf5Z84Lc0/cS7ZkvMhCAPSO7a/JIn+cPwysrwOE815ILDg1YDScjxqBCZJtzm+VmYqzWse
1W+TN56wB80LdBWoQHo3cTwylmOSfa1YC/Ll6GRo/79debThqfxbS9xj9/79p5a437/y/wJoLmYz
WIsscMBY1PJz/f1Yb/2F+Bdq4NLaI1woLvx5fzvW06FogdvziUUqC+MbKOa/iY98mYWlE2MpqiaG
u//sWP+vp3obKx5ZNwdQpMcZ/x8fq7rJ0zzFjL5ycpsXwnXd28wX3PCT6hiDHNgLtnzCt/Yzj9+P
oFDzhoXyU0yRidFiUN9OM8MxkdHTSIJ0486Ty0ge2QMg1c8x8L6jCBO5KmlloBueEYumUCvP1UG3
4sK0HrMqQyh3wjQliWEtu61pPTtLykw3gC2InfkuPu8liOaK5pqX/pO3RNSaiYI93flHrIXE1woK
hVLyKihE16hYRjreZxZ6/ql0Gziwc3xVRGGD0PZObjg12TIHe8qqcbr84Xb3J++pJ//Ehw0/07No
v5SupeTyif/hRXUx38RFT4iv8fDHuFh+903phAwqsX3kEm9AXtCHZxYHXWMz8Qfv1XAkSunS5dLi
GHGj40DBzopKvwi+YvLWFHLx6XhrHCbOjkIPalk649XGOMasycxXVgI42Izmil4T+3YKnA/y2ITA
SqxHGHfwJi07c58SOh35sGiAXdWec1HsCWEBFKC0vI3llPT/6K1I3Qu9Dtsywt5vmDiHq/HoKnE1
qRZbS11tXSPfD5VL8fhisBB4lubC/56CmWtYve/i5hG+NOPT8LZvDA792cpr4CiQmMaQMvuvcblU
O8ljg20kYKdDhIf7SwdZ99S7/S5x9Lad+icqiJvNrIKzdJNTGLc/+4Zx5OiYr8Jj/lKO9apq0n3p
2eE2s8137pI2qEJOb7XHPFmRGBozztcIuLBzMmo7UugTAuRGh2vHyQraIzirTTgld5VpfGTtQPbB
s15zV781Vn+2WrlndhOxB9LH0ySOtyoM796qGUFGjr+pQ+6WwuQ+Q0lbsBqj7oeS5YdZ6z2B6gMM
lB1TOciY9Za4dbNGuLiOpt5BDujXhVc/R/WY4J1zPsPEhZowBHekTh2glcSSiRGPhDyyi0/Y3lkI
j5nvH9RYcHxVFS+b9VTSJrMx60GQgMNMJJUdHLQX3rlKBTsZWpAvR4+iYdWVTN2KcAt0g5D96GH8
iXR8lW7p/JRxfufF4X2UUIPSmYJiLJNjQ0YwBamu8o1fhEdooGcsu4E4PqziEGEB5ZnnUF0pDz35
Bl1ZZcZlg/cP4AMDWDfbS2/6JP/VAdPIj43yjmbxgYWADBl+TsAz7qEMxQsVrOvRb24doV7MDrA5
/URN8BmmOFqH+EQQ6xb5iWFYwIQNEx3GiEFd62B6cYYyYODZl+tuGr8hIkBLp25pN2kSUAho6rVO
oruUW4Lr8Nx7vbxvlRhuBmf+MOLo7C1nEdsFPJi3/cELxDHyyzs/c8ptSbf52o7lnaG7B3I7N5lL
MQfzyC1D/pgqRCbOkboyKqzXnsHvTREWKg4lN9YdKYzHKjE/rIzJ3DiZ1GIrSVFXvG+JJB6Yi+Bs
nDEf2DG+MG6vb2wnb6aTPBSBfyd7RJYY69rS7PIdl+Ot8nErcCdLtoYfoJaRmcTjOx81xBvcpNZH
qQD8NG0LsN0gmhTnlFFUTFgm70Z5wbNy221To2uWcth2Sp6SeTiRwOXbtn1KqjTNZJRZdhrzZPwY
zsPWSXx4MyPiqkOOU9zZLW+tRe1i5sD5BHVlN114SHOMnKlVvTeec990ctdFzlkv5nxyDCubvw7I
Fu6jFWHeKM6PuYepmr84kUa1w1HGb612UPA2dpP94GfxnFQ22gREo53SU7n1clvvMrv6tL0JR7Fn
sjxSp0PTqYzLNXUi29mptukAeTcx7WlNg/iumLKLinssE4wi/DHgoNy+B6F1TTuGupPAjp3fya57
b43iVA723snG98it6Km13k3HZIZRv7We8dbGKQGfHDPpNNQgfYpX2VI3a07DxYj0LQF/NqWaLoLZ
uyYWE7G5np5HtYhmEQ0hPXSQmrtnLcPHtHKRsPitB3HjSGrjEdZ1uCBQi21X+Vy1rIPXO9fKVsOq
m9JdWkmuhe0LRVMVk7ZmMUusSMs9zNmwdcX4wCxizwq8BT/20Afj3o6sh950H1qdM9rKzlk5HN0Z
UyNIoBqRbbSLU+8EzED0umFivxqqGKNgs+tb+Tpa427y8xvutPsYbr6qxaURBs5EP6aOKa5PbCY4
l6tN2Id3vaTDuAYY2dhYlJzJvSXXFZ5Vkh3w6DwGdfnR1/M+dUnjmXGwMwLrfrGf4A8/zikYOCeg
0jbZt0FzRoo4l7nxKZPse8q653Dh28c+1Tl2gCJYhIdqUAfXvZg00jBOcq+dg7dpVuMpa+IH30wO
pnKAcYzbwWGBk1H8ODZLsr1p78sJv7DDv/gKZ/XUcXNPFoRUh4YBgm0/qvnWDtT3NMaHME+ex/I3
YiRd0QTyqt45trRnFh5Vp0Z4m4p6n8/eY5xYZ7eBliHr/mj7BHH6xok3LYSMqZiO2mKjiyaWgoCH
E83AigKMU+AcK31btv2DKfP7Pgg+oSWDgyistbSNQ9d150LU3RkU26NPwNDOl+Yr8muUwVj9qc+J
hNbxxM13CghAB7QLepoxkafnLWZ1jN1W9ebl8hOv/gLgis5hSNFY74IJwQq91KSRwjU12jjO7wST
Adj/0h32bqTmR1nT0cdQl2/BH7nOeky3Ol/eiNp7lzNlOoDEnHxXJGo3lNAwW4D4dG2Y3Wb054uT
pohdtnVhTERkPqqdnfIMMvYVWJ8+d3f2hAA7ufXVSx3/h8FAdaMH9VyQVn7KgAFsmpAOqqFk4yU3
d50C7rSw86AKFrG3dyiHT2xgfeTGSoMfvmWVFX7x9hylyYdTiatwTc5PCtXESV4Cklx4qrnXYhCi
+EhfOq640MKMH9ieQIwtp9VWQ+wavfrTX06ykKywktrPrWBUEy2n3dgsjmRLs0O0nITt5UycL4fE
qOqe5G/nRivtvRMVwzdc0u5KVf2cqirZgOFiTRiB7nGeQAGNalIBmpqMnJ1DiG0FYznulM14JKWl
kUrEVS8FnpPhtjBp1/LDJ1TwA6gQAhAAEmxa447TzONo2vHWqHqGPeSqC+vWw1Zd6vjF9LOHaDC6
Td0iPcsOborTsGb41vBd41sTk9zVXskUKfzhVxMoB0axnjlYtG4YEI/D+KcBpifMiH8E09gunn93
3dpMBYEMrWylXvDnH2NeNIF8yTbtPZaq+ZwWPyxp+XMS9g+L+Mtq2nAPnbt1O5gvtVwKMmbOBw11
ugyAUgVhFR9NZRy1tve9KR2mYsNbkWU3zVS/yH7cuzRUL2XO2H3XaZjf9DSp9ti4NyWGcOR/cTHx
kx0tmf5MMC+EvvE5pyM9uoaD78y+AVLwTI8FXUNyr4saoZuPO8gNns7ROlp+R8zPviFWywotGA3G
+VT/sGZVYRer35pwXiem8TiMvV6seXRUV053tZx5ghwL0rGil3FZi78b15tgSo7rTtUW1bzhhL2I
WJ8cHFa8uuNKRFHcTgc284qJAXbdlwMheWh2rZukh8oieNAvFWOwR+6Ic4bbRpKHa8kcbOk2bcg3
aHBxBkME94L7gsCvC8Hab7lKRYTNIc1vXXtxO4wZXvAazXCs/DVhUg7spIBlI+vj0FjdLoFgv0F9
WPDHKe3Jw7xTSb2Um0WCUtGIyJOLl2jlmTxGIr61JlhLKR8d/Tu3VWyZC2acNvGkeqgYYm9xRrzH
Tf+zSstkS18ey6AaTqmpv2xFBYQnCJuYIQPOYBBXH6bYpvCq+Iq9Em+EYTwYeXHmhb5EY8M7HI8H
klWXxguvlofxgBKxx46r24pZmPx/Mqren2RU/+FCtlzY/nAhU1heTc0pAZukix8MkO4PObZXL6rY
clml0mW58paFy1uWsGxZzDJWNXtZ3mgGZOomib5oXN90QqZrPsadWJbFGmIiIDDff8+WRdMLkW6m
WDyioqYP3rK0dmUpHitWW1PMn2WoXidLtavBzuAo9hacLwuBfRb9gz34yVovnJA56HZ+Vn7MGAc2
GSgRaVgK2bt8ShYLImTJiy06RoO1sZGFhdHMfvcxgm3CDLCjFX7lC7YEp9q59MOz4/W444YfEsYJ
RaRndqrD7FfuygvHt4k1V1vWEzCJ4mwsiJRoLm+6INlrybGTUVe1KSzjR11TjJ3JINv0rN6/3Zf/
exVhy+bq/4eZwb8wi24g/VMEXXVl8S+a8O9f/H+asO2YBBX9JUAs2cz+scPDZg7I8MiVjiD4zVzp
b8Mj6y8URKMJM1NiE+LL/j48WnhIHh5zRlFCuf5/1gb9W6T8HyVhqjsoEkN8JqCJyPyPbxaSDsAZ
i1U1CFqm6HN2B2puyTl6n2VefGumoAnTUMdQZEPaKb2pC2E8/OHD+5OBi+ksA5V/+lvYuOYXUBMY
Zee3yekf3m8jma2sHyiXEeSnDtFgfRVEc4TBINdyeHGxiVIV7DK8nbNdGJv6OfUi+25Q1SmM5DaK
cP7k8FLqrqdNqhpRbe0QQc/MYrUN2sR4N6Vdcn3xhwyqvEFsA5/7hdldebYyy3l3sD0vpp9qnfR0
d3jjppHulfPejrPgfcb+jtqM6iSeMhkfWeLIIn1bk35yRLtPIRcscKCbOahQ3Zxs3vkB7u9k0UV9
sQni4iVBL5UjlnrtCsDG3mu2SKq2znH4YEtNs3pR5RcB1uvIhcU7YlsrY5Fo3br/4aLZ5kNr0kpJ
tDquHnVIH4DvrBPEXsy4tF0j/s7Y/BGDrchFuDX2QVo91gCSDDxQXap/WVb0UQQV68WE+oVqSc5v
tKoHo8h2Yk4eWiP8dIP5y0SV9hN1wpp0qlCrqzp5zFGvC4+ChUXOzpPs5FGlwTyLxk8U79q0NwIF
nBnTXYMi7gGQ0r9J5GwMNZr5TIE1HNnHSPn3xGi3ozMdDDT2PHbmEzrszzRuPrhL7H2DG/wiy3fo
8xxTdhN6fRK63Nm7oVk1i54/LMW4Ga1OeB3BhOTFh8SzRdUWlZjo7zCAAsGoxi0lDjncYBLBAUUx
o3GjRxFR84kH4k3PXMKkfFZx1Uybf/9Aw/361wea93kJpgjX4Zf/yWnRF54ztgqkbKYBvIgAJqyd
iv6cBBopvMCnF8YAP5GFTVUQU6RgA7mrAGq8gH7G0gUdlqzLuDgEbn3npmZBR43hb3oVQvO1YnsL
OhGGdnIpW+eXQrcFyNj9UjZ5+rhltjS9iYSw4LhUy3p0zKqahlGbyQzNUnW/5gj8EgwWeWnPT1BH
iVDHVfvoYeQv6a/NeayMTD66rTrMhngoku7Va5InaqDqlahNa8OkLSLnNdL3EkeLcAwEsrCbn2Yh
vmI6dIOlTNebpn1Euy5dN+sqjK56al4CJ3j0sFpvnKWQt8TdvIFWwoGatt4gj+/dmvpexyl8/Abo
k4SrmWUAwsYQj+mg/AVKc2XR0obhFSA5U7d1Y+knFRKGlDGkMoBLePAIDljFcIjoFhZTShCAcCOf
cvMtDffNKHW4A9sJTG0Sj5qO4mS5sjFB+og8gFjuUmTMQJa+irFG4VL0BOJrAFVZ0H1sMMCj2iTY
Eo/2YBiVr2PmQ71kSrxz6M/irbimACVQNRUVMPLe81PeV+qWh6V4uWvtQ1vAs0zpZFa9fpRDvI6X
smZRLCBxSD+0OAd01q6KVFENR8MzCK21W3knOmNvQDFWWyY/5VrlGSvcUhBNXQ2TVFt+cCM7pXRI
F4oS9HIG8CuDxr+mKXkQk9DNPuQfup6jpkPb0tVk6rkPim5aboU/Kng/X25FSickV8KwUjOZ87i0
OT0575CX3owY4ZulX5x4qY4l1uVNEk9bJeRwo2v4x4YovrwafY6hr1hZdvssp4HrZg0ACUDQuI3q
BMujNZGsFUay8qrX1LbN7WTCxhZ59Sty4cP0Qjpb6ofMnbdgQJteAyMaQIO6CQikBFNh6WV76pAz
VmUi0QtN1Kf3US180XAhjZpViOUDW3t3r+2G8QKYLOTRhW/S+QAseFiluZSDN5ne6KomXhUTnYf2
/AgR+ZjEfsjQ0UieUteaLzREdTfI1jsRZqfRs/WaXpL2UBMDTroBg4I5wM+nJGUq+JJ89qmSSED+
2Im4Vn1bE3dlCssIkbiWO3neGy6xYtNbtdhkaT8CQLLBcw+6zx5CBjZbvN/c2jQNbJAqjbPViE1l
Onc6kfMuaOyPRNcvQFboWInKdh+NsDfXBk6WR0N0b4PvMiunSDFMxkM+wHXJcv+WkNMdVZ0XUTZ3
zE9ZokWWrwovJz3lnqM8vbABb1Xa3FUhDu1kuDY9LJclnx5Dk1txgTApVgcnUmQMJIwG90OAC2Ao
1/gcbsqgOIaj+NlroHtsDU+aniEvMu8BpxFQqW5map7Wjg9OPejv/SrdeXN637HLoECM27SITyq2
MCN79wuEObbKtzFqz2HDnwxMymUgsnbcmLKusXDeXaw7Z1vNuDgDRaej00LZ/W1/DywRvItl03fz
1mKqVzXcBwfy4gWnAzNtFN0nklt2ecp+O0AEhX6moRKXG6eLlELslb2cN6BS7bjZYM6av+glFoBq
l10CFl68kVO6D4Mk2vQouFQI3Rt42vLF3AYy+onr3XOH663B/ZbjgmsoRzRS2twNeVfjkgs0nUJM
EQ69mYMjxkmX9U1LODi5HW39mjeE1gEPUrVEZ5/uF8eBP91ghNmRKQSRbNUku/uLXg5prZnc5WOq
jrbBJb5pKpaMEbmgcM3baRCISt38pMPZucSK2Vlcly4NT5pCZQjG23IcHnSuvNVULAWYrg6/PI4j
FKHWFV3tDjJW2R+iWjJ5Z+gvjGZb1jRMwhcTYH+Tunoy5gTXTF7fzX5YIYpQH2xyLvCjIb66quIE
PXzEbAphT1yDyDacrqb5SV9Dt64cS646Lf2tHouvUnjvEV4rg6D0pqsxcJlhqRnIiR3iSb0yQrzj
XVPdTEFs7zkuq1Vg6/twpM0VAzANCEN8GHvj7E8aXG07PqdjFEMhUnsX7QY3Ah/6ZJxGhc19NOWN
KeN9HMXzT5z5PSmdwWNw458Ns2N0UQbmgY0ducKXH/nyAMZhCaSQvrMMqzUpqG2CMdGYdbAfGSU4
lAdYojhDw91ZfXHXE7HEhbs3Y4GbKih+zIX72kj/lunTLc2y8zrmMIujnRfLCeQK35de8/mywQX5
kxFL8Bl9+FYSadzk9rgftHoTVrrJKdl2w+ESSItm0p53dqqPJJPPhhNuhhTDpp8IPIO+3JDuviPB
2K7zZu7XrYC+6fO7JYX3aZmwp32gQj///aHHXuwL/3SId0z0UlhGBHHdf64YMapU8t8hcDRxiA1I
TA8g7Ea6Npkr1cDW1snyFA7L82jzYML5g1Jk2bfl8szqpU5HZNWlNr19MxkkrPqXrIR+B4uzWzkZ
H2WV9c6O+hCkncJLWJP4kv8l7zyWJEfPLPsqtN6jDFqYDWfhANzhWoSODSxUQmuNp5+DJJvMyiSr
hmty0c1iZUZVugP//4l7z9USzgJVoTQ2c5y3XUU1Jab+GcRkvk1b9RhIWX7fq5VJJcUjPi4P+x//
wSUFXe/Pf3KdJanOwUO7J2s/NVGqIgR6UiLDni0aEQaGBI2L7SMXGsmm4yx46MzUnSZXLJPhbZME
Mm47loLtqI1MP9lKFiqefijd/BKsQHC7pwXgjZCFaM4F6g0KjlmBGuxEqXkQu/o1CnF3zYDAlUI/
tlo3eCjhEOPDCh/NhRoOPpyrH+mpvNaC5qkL9dd+WAgoMzi+Tkwe+4VBDqjhWgAlN4UEO8f0lSna
OQZabi308jDi0dcXonkZ5EcGX0/6kAA7x8V3M/J5O0ODwNQGzKJUAs59UayZkBYvAVR2WWsugZkV
zgxQXQasrpn9OQykh9AkCmw0bslCYC+AqjCrPFiNnztNh++3GFg4xiK21qgntTwVThCksBxwXVhG
8qZCKQljgezm9jIryueYBodcNct1JDC7V5XpNRnma++LFW9ki5gMTEed1K/+cj1iMp7YPFlBs8mJ
e8CjWj1Zy32K5HdN+36RuGlNECP7cLl8u+UaFpgDUz9E6S1aLulyMkE4+iVar3AackddrvMANd2q
tyIVhzaeUYKVxWPE/Z8FsFuAllEUFEt50CzCyj6eEPGZNnCHxhuWYgIb2Y7sJzrNmkp0KTjQOSUP
+UR+X0M18v1p/e+d1kiiJEI4YiT47yX82yb9av5SfPvL3UeEVP3nePW//fa/j2z032TOMIMu01Q1
gNPwof9X7qP/phiEOJHwxEEGaUDlCPz7xEa1frNMlPWGIkLNAgf9T+A0fwu3Brgs0zBVicGN9Z+o
+OVfVfyyTmPLP50BEFlOqId+Nwwd23HKxQQ/Y6FCLbz2w0aRHYC61jY3vDpbM9K20IvwrjOSVbp7
DpqhpNf1RH1NZkfdeBA/mMEjlZ5lm8SYnkVWdZhAcUCmS59xprbasc+fB2VXli9NSGhU8Dy42M3V
u0jcgSjSiYiYxUuhX7oBNp3HzKKjZY03YF3Ga85sMneozPl5cC598zCT6CjAwV3nygMM5UhZmyoi
Q+uRQgzO0cBuPXQYpkKpgSUqGi5EJpahlUpaAf+G6yh1AbhU6oV/iq6vU2tT+ZcRRJwNXz/A+aXb
k3xXihssiF1q+5hgjQOG4ZiABU9pb4HxUHGV0E6BuNarfV0gbEGjvVvYvqQPGrskPMvDh9FfY+3S
Q6bMN2mNfd+bql3QeOQYiuX9KL1ow6sQ81keKIehAAydK+LKHT6xEWb1hs1aU+wA3g+4GzMH42ha
EPCxG8ZdjIJJtIPAtLvYnqe1PrqEx8sNZ8HO6I9yuRvTPc4HWbjSu2ayG0Lf7Z0xfCG9BfCogI9U
mt7ZkdMuWZOtAO6qH/3gwBA7IMmkx46GWNDVaiB6IH229bjOG08D45l7RbcyWsf/Ip2GBwCTtRU4
6CZVVnzxtq2cIt/K6TW2XIDFUuIST9jGB4iNAU4MPqMYThSCpuxBjW7isIeMIk87RSYA2220i7ak
LW3Z9k6VS2a3MJ78/DGIn4LoLAA9Gjwl3lQLcvNdVG0J9+0z8MbCXP/wPv+rGaL5yyX8/bWAF7cU
IDA0f9oR1HVsaWk6g1zWvZCcMST5QX7nB3eNgmgMoTsWv2yrQwjNXeM5zEkmeYrrrT7gm8VbPOm6
M2lHPSWmzDF9dy7grSLLYf6erKzm5M/P/njvD7eW9jZiOFfUXwPqVHy5zog7LYhOWsFStz0VU2Pj
8vXKhoTbqT5NmeF+oRdToFosbbUN2iKTn0SEz2n23GfHvjsNo4cDspM2qXSY+GT7jUkCFJNGnf8d
sPdapo+J8H2smca00gPNUph9RQkkJCxee1hpmCKefDRaoDs0+aLU27L2lNAxMKGaV0vbjQHdGbbg
x8q/xSNQ8Y9iPJFKrAwHfOb4STGZHDXrCX1f4tEV40sNdaBt6wZlzLbydy9qdSTPwQi8Fo6StosE
J5Q8vXLLaVcWt7o76+TA59ti+tKHL6rzQd81Busjt9J3fe8p8h4uiKi9Dkm16lVwliyK6eqOpDNj
Y4d3vqZ9cIxlyLkxRIig3qC9TuW2VfaGtE9HO6JDRReeoWPqbyUO5v7FSry6epgHWj0i23MoTM21
y6/J8Fmrl0zDUHMD/LOSmKPqpROJB4DKaD0wajR3eGyaYdMZ1z9+ErVfZL7Lg8hBDwpFthbH1e/P
53KCXF3OPIiFuBHCV7SQlX9o5GOMtVPiDUv7b6VkAzuwBd8ZJII4gN0+yrOwkjobxXmfrUXw5Lkt
0/JD//OC+KQMtLDTTZiO08xq/z5m5mtqbjR8g0XkxAW7S2Utx7ew+Bb6DL/PeBSG0PXfp6Wh28uY
z8XiZYLGC/AJHoZRXPP2rAEGQcAweoLAp8xpgEjhjz8MVJM/18Z03pouiYqu6YuT7afXMiSJjT0m
n0ZqbsZmO1knJETkhr6DGWyuDD8Kwq8zgqYZENnac2LakFJVxEvs9lE9fBuvau8h3mf0oAquPzqx
9qlxzzV2h9xtYkt6bJtTHj2FvNkR9nAa97VIIndJ++jm6iZhum24sbphGVfr9pw4culhLG5xBi/W
9zU70oALSTnxezMq78pl9I/KxtDstHGV3uMtb4xtbezT5kYg0RCxlWfregg7gkpXiBh0HPn9RlJX
ueqqGKUhlzRYVa4V64AlYQpxfrrW64OiuxEgRMtOp10dYOI5YsUwKw5qZDgXs74zyrX1BYyOqX0M
ooQc5S45/vE38uuu5acv5KfRdEFuaGlpIv1neNCrR1ldh/qhNNGDgkIhmOUwhEdNeLOSA7AyabgT
zK2ak1LLNwJE4lL4OOqqp8Kw0fGglZIrz0zfagvVEppWBH34HrBlT5s43GnFnr3nhBL5kWXHtCA9
doMFJZqvYCuKq6YliPdP2tDvXN7ftaHf/3wqNwAvIJfBTyp7q5MDjYeZB45aQGN1T8vohsFmotDh
xh4ZtOFMcBf3GF8e+lQKdWbQ4iaP7bDeckOPmJgBCspAV1Ym4wpHbHZSikDEIZYvU1dsfj6nkhEa
H6GzRNHVoDzIqbJTyR5Ht/owRBttNSILFH46szaYSLsJjApLHN7qD/9Fald54Sik3hJFJSKPxhXH
uJfn0EHyxLnbtLbJbAz7BZ9VbAeGU2Suxk3NRKDm966W/5J7kuooyaM1bE3yluCHKJuGZKpv4Ahw
XRdPf/zkSPpycv3RR7us8X5Y04lkH2VDALPGwHVVxg+Ggk39yuInprgadeB+o+SMIk0mmxuA0Jip
N0ylTUauw5MobUBNtNNTp+8n8dpGl0q8CuFNVu4HZGzKRyJuLE8Y9pZwn8uHWneR7wwc8bck/FR8
cN6JnSC77eKeGfRjwk4I4yogKQhbasptw0pvm+jv+MChwAjhOkGVQg0ZbZKBI9TWmutABBYzRGa7
2bYDHWG6rgLIf9ikxj4Lbml8bfW9gQsx88Tq1aiesmhnZc8VY+ALbNd+CZ3yWFjFD/oADn5j3Ehw
UZeIRPJLHUGWXAgYib4nUJNsObIt6mOcPGDpbiMu/vESjbahPFsDPFMAHKn6nCr3k7a15lez3xft
Tq92orqpxUdh2hjWc1e8VDrxIQZ8I20VmndphoNzE1SuMV775pFtmxHvjO5RKk81J9h8E3ub7vx+
1k9AVIrSS6OTn1Yeg2dX9CtWcWxdXsLx2qb7snqV9XuFHzxMsxv6ZHpm16TjjNMAT5Dp7lbCizl+
QAOEvP/HTxKeiX/1JFkSunDc0MzrrN8/SaZRN35rkoo3qWsNMwwJN+oXjXcGUWe4Q4Csqqjd0xPw
TztqYC2kp7JmH8uQ7wqyYDSvqnwCqCBUBGhhfmvXEfoh7aOtnw0kYITCD2yCpfIV6KLfXhofbAxU
GiIGZuadm0x8aABmCimZpjlM72mbQE+UxQdf3JnqketQmy+qZZeta/ZulG+CYqfGXhpvdHMtkx8P
OtOwR3+dvbEfEeK9hXjORC/4if+qOpHPh4Aj1s4jGIWHife6WWnKQU+2Axd74FBvQTdECPLSdWcV
bhezQ3UtKB8In+cSNZ0nT+voGXmsr+0Yw1PeIME2M9xvHud1aX2lsRPVGwsTcnYtTQ8VI04ou2Iy
jYcvo0G4a6q3yDz0oqNaT6HpSbVbSfwGz5R3Skyzx0H9Dd1hR+Iu9RSRcJa+Qc9GUbXLF7gyq1XC
DPnL02icI3MvjIhBt8V4mPFGzbcu2cnZNsTY65cPdemq4KI0p2RWYu0G5YYJxIIFSopkhdozOBji
JbU8iASlfg3no2Ke4KjWXoaoHCFsFJDxsUU+U78o5gfjdlLHVcttxY3Pch8zpm6X1aYyDkjIKRv0
eKMA/dWZCJ3qbKuh3MrwA3ZsM/NtM21A3kiQu8y7fHZq5azUkIGgWx4q/1hkdkKIkqb7cDTf03Dt
S/smuogEt32TRFyfWyOSsQevSj7mYoMmPyfXOHXhEYv+bhZ5nzchr1pLMMNTb0Rnbv9hdsZxmyT3
aE/RgZHTdqO87TmBx/o1jr+yyIHNho4PQXEDKqnR3mN6kXYv9oAtR7TB41XSgM96IfEnsxdaJKvc
8DoGwtnUP9LysclJljkp8jYINplsc6r6iBGGp6Ws64Y9NL7K+ozbU9vcNYENhtQ/Qruj3Cy3GK7N
iLdpRzQnaTsiSl1OoxVpPM5waQ5WvYpPc+YyQG5JVCNec2IPSTfA6QRGxylY3gGUmW0FBe/kNo2L
Abmv9ymlSSu/JcWD3m1kc6v7CZnwtm9tu6yxI5TCcmetxhnF/0vIvJGaQXHi8Qp6h7hOAFU6inad
7ieid1i3nNHlJ96+znjJ6HvDV9Yr7PAny8GLmDd3mn728TwysgsrCvl1obzEASR5Oip2X/XQAxtS
bNjLJLPJBAD2GTQn1YNiomQ3LKQqrgJW0BlHPCZZsOEexvt0l4r9isdcWBXxDu2iVmxGZPV/fNZ9
P8p+uTQR8pAlJy5inp8KYKELe43oRm0VJB42CzHwLDw/s1s+a3w3Ljy65E3+1t5rXFIugKz6acbn
+RjdthMqFWpN9lGbMT9po8sKSo9OVnQWw11V7XWgI7T+sjdLTuKj0V6JeEYrRyidsl9Pw06XocP0
TqfYOAT6+FQhf+jtgvgeAgM/Vb4L3+4aNwj3af1QRetSWE0I1MThMdYRUGwa1esH27Re6mmT/Vkh
upAyfq0mCG9TloZdYr76+zug0+duFGc+GIzY42cduOoDtiKiWKJpZb6SRgPcRMafgZUAn0DihhIZ
Yxy2NpRyFPWUHM0HUsOI8MHgRZgnHkgWHKvwOWXHjGsl8PL43JSHTMeCtddStyC4Q9vpiqv6N+mt
LW5KQKj4WmXtn7xb4aOkXazcZoDLEEdvHIs8GzR56rnNuc5LG+XheFLilVrd/fEjIinLdffTM0Jm
vEnDSM3KFuGn61DSBy3DEsvjHNp+4jUzDcoGKreK3bVCA7ry421fOsRplgZvldM9dJC5+eWBjf+s
zVxweXW/HnT0HARbOjp2H5Z4dwLNhJN+CJLTP2sH+YX5QDPb9X4hVUdIFzF2rMmaxf2dF17brRk0
WTlPhTNUTmvaw2CzEWU4QiY8rGKNpDOnsgvmFqUbI70KmLjfUUE02lbTdxyceJxAIBnNquCIuaTj
JvpgSjZaPJ4rHj4jJRIIEauNlBVcp2QxdzzK2Usb3dOoTfKpfx0teyYPt7V58ESFL26VVZuBRX96
nCnVZJfrPa2uDX4UBY3/pZQPZrYfh5UEbwiWVI3WfE0DlilnC6w9P0Fel8wXSPkh2YkM9clB+Cr6
eGBW6ddSJ/TEJQFfX1UMJIFbSsuZx/5K5hQ1/uQsMH/BxMqErOAFBRTDONj8ZTQQt1UhiXjO8LnF
ySGuvBISHKbsdlcoDEk2nYJ5zqZcgTrUp+uwu0TxRmhOSN4x69GNgh9ARGxQWZ/YLdBzJAYMTBey
UJ/dMr7WxzZ0RsEGN89jIK77RqeuCSB+fIryuupeRMFDjNUIW4mSxmL5sFJ1j88Gw2XFgjT/opue
ozV9TBFs0NNg9hijU5JeFax75nDJFLeNH43wkUM8zGCVnhbGgV7dDf49nqNY2hf51UyPY79NFZtt
Uf2nckH9zz7G5WT5oQ9Zot+GKBhgUZpbWdyp5WUihkacz0GwHgzQ+OsYnCyanNab/IsOa37JVgnF
k9DcgVZYqfHJjE8YV/V5J9TQz3vHlO+YOBA6HZZnUT2KgPxqLEAHjavC3wrKp8rNkQ33g/+t79dJ
sREoLCBsDU4AOb3YRrljxi5Ayix2S1o7w5nBUPJtZgxXUGzd+8bZGD5848CXY8ILbC18AIyLb0UM
kNtRTO6lY4YZUnP81pbYcTIXJ668tHnrOcHjkQdz163zlFjjTZCvkPrgDQpTDx6NprLRheu2Dn2i
fXcWAMvYs9pLEWMquTElQf1OuGyWnMthG8X3SKMF6Q40VdAcdGWbdw40eop/eshY2uDHepDZlxo7
wBXBtO6tk988581NL84ZcpjkzNSOkofRnsVN3p2yHJvMg59d0E6q9a2veeWPkvrVSC9mte/M6xSc
+oDUq32UPg/mlVlhMRIKRb9F7wYPmWkfU5pwU4fbokbmV/Ne3ODfMGP846NWW8zQv5y0qGa/L0+w
+P40nFPVtCriiha2/ZBkrA2r8Gytw4v0iZewB/NJCbnSnrNHMhrxLCIH8TH5rKIvRDK2uen3xnG6
DDgTzu1beevKlf8xbMuH6BsDxuYdbj5slfHN9NT7+A1MYo7phzb1vv1ih5t986/4WPsjuLXvf6r/
3p2eopnL3ObfL/Se3uoh+kh+UV///Tf+w7m/IAC+s8FhLojyUpv9A8hF9iu+ctTXprKINCnLfhBf
m4aMa19Gty3i/P+d+Frj16LsJAABMtd/mB37Swm0AL+QcyMM1/hxyk+zKtOISpmuVFwhvLT2s56N
LH2oyNBoSryM6bxNyaNZN4qorVE9N0ywVPZtRITj0TBWQZVnEPay7CCV41OrI+xVzO5mhh2zGB0Z
2RfufOOsRMB5WlROW61EQrpsq3EJIB5uqjuJHHtsYvmZH7poYft1PMfTpvXb8TWQhvFuVmibyiw9
z1GLQSSbsvkkkEKyqqURD/wEJDIOEe8Z/nMv6NGyhxif4B3n6xphDlZUk21kf5UmrCFVWaHeSevT
rLHwCFt0vIv4qTZD1baU7D4vCUcZhCD8mmI0pEJqCutKRwsAi9xuosknmaCBPRVlla2CJQojFjh5
rqyrqOAuWKqATD9pA9O7OCjTTT+qqTMOpXUowXFJiz5JXJRKIZKlQES7lE/1A+EKuw5RE0RgHKmG
I0jM9mQNwJjYI+PojLWWzsZnKMpHwhhJj0BdYs5ILzMZh4XaDNDLM3TkaYj+as4JqyH6J7QlX1TX
yiJbAcrdrjREBnQA7UtkzMdK4CiRIh7VtG1vIDln2u+u4ASGRyJ8R5NE3zEl2kIssUCXTN8hJmW3
AE2yqHcylPE+qJOhFd8y0CclCJSYlV67MFFgP30wXuFwWngpTTQ8t2aY2q3O2UYwRbvy4auUcFaI
HOtXlRrtZZW5SDyGNpom2YGNSyJ5jlCN2JfAFkG3tIN6S0C5gFA6CHnru2SpW4eiTR4GsC9Nncy0
NIzx8yxBoVujDUco3IYhtwNtekUBil5sVwGVbcXUfB4Xi3e6mL0TtM52g/+7rqvCVhZLeDUNT+no
H8qUDEQCcJEzLgZyXDVn7Em7EGc5NKCPjD9IyXdfFPoTeuJzQ+NZYkjvMKanMg71xqz5IvP3Cuu6
LCekwkTW8k94JBhx05ti50aiyMYAuJQ9MfUyG/9o4nqbdEwC32E/pTrDTCsxz6c5QZ9yvCEXhzRl
lMWWwh4bRsxlAVOv5jh9TdRsO+rCZqwX5z2enGzGeOaP8zaPi1MMr2dV8a8e6HnsGCmXegjan1SX
W1sorqk3r3kUfDDEcA199lLBpzUxlVWjm4/dUK2lrjrkmGIXXT3zT2taayWDvWA8D1IBv6dRXIS0
zU0xOBwitMA07XO5zYKs/grasF0FNT+tQi7dw86h+sVOKJig1DRsEL2F9EwPFbvKeb0yCZ58EAiw
iAva/H6u9kajvFL/3XQOkRVGqAuJhJ1t1ul9LM97P+xuWlEdWyOJkfIWxbbl96hTiu4+GX1spWJn
F1XyaY2yYYuNcrXivt60ihk7peBfjL49plUtbNHBkQ6VGsfaUrCqyYTJgKvvTf850dr+rmHFe8wC
piZZnjI3VNMTEYXE0OCw94Z+obgBV3JKJk3VmLtCUwIKz2+AOLxKGFzSfjyxw5xhiLzBPjuYtvWf
p4Ushc0WrCF+ilakwxgDElj7qbWtmOWsT6GriM17K/bPqj9vNSqqwJffkZVvwTpukjxFcJzkyFQz
84kApjspMfm8Z/zZFmKgtH5Hr3cgq8oNMzm6pUQSLJZbvqVkXxjlSa2l+7Sk6cfMeZYy6ZzAQjLE
4LEJJhJ3mk81DM+lLO/bDPCWKnQ7X1BmxGG8GQnhisXQbeGzNS5bzotZ8e7PJhZw6ZngrIxto07+
gnUCCMLkCuU+UtNlZspDoAG6HgaYurUVb9pAvJd6EHrwN5jtdNYIzC45leFwUgdOj5z8JTsTyXjI
iO5F0LZux3EvxMlWjiRCYJol3ynXXzH3YP5le5V0+qKFd7ouPNR18AzcXeKfi8knGjGRBlSCkV+4
En58t29kbT3r/gffM+JIxFWo3wIhYu2E+oS8X/VONNgWG/E0oriQRx4n+l1ABRjEewqtdpBZBKdH
n6gARxg4na0og7ayhJZ1xLcfOkk4KCQDQ+B9E9LalYuajML2NcxmhSepfI+CFjS+EaMim/PtpNaf
Ugl6PDTdJR+tAB/Y9gLMFTY02oJqrt/DBURC2G3vSmpD2OyIIV3sNrpC9ziJ+XMomNwM2a0cArco
xmOnIEaTo/Ad7fUmTEi9afuk3w1GyOamUskuENTjJJTbvKeV1uvsXkzmJxIjaBebmXV1doWE/loC
n2D9I70pKQOrPKJbkDNe/7Eqs5UZFreAqExXDrAYEEiwhv8C4jEM3NIXiQeehGOUxhCpi2JTaeaj
MNR3bRzo7GmmK/cFaJk5fEjM8QT3z4mV6aKQ5KXBNCNtLcjYuPJHlZV10Jms7LPhWRvqdRGQqdFI
XMKI+lhjD4h99Dp6mnE1rsJK8rKOZ46LNrKHMfAA/u3lANKgojFT6RcdeOmEBiZ0ocxtxBgb7cEY
vUDuHoeJQURK9BJa3cZpVUDoWa1KHFs6IXRxug8lVKRt1dP5M1eI+fDZ0IWSI0Xk1YsCl1V9aUS0
vKO29NOiavHZWZROgnEALuE0ScPohPm2HhLCUuXvRqta27DsoGTk1CeG0hG6h0xCCKFfCzJ0gx4O
Rk7Osl1rMiFXbOKDFodxKV46yXoQo+hhbqJToYfs8XPWhZbVvoQNWeRVg80cJTMWNJkhtJAOIMuG
7ltNLtGxHMt2g6PiT5Z21q8lpqYqCGstTZUkTTR+KjFLCkIljRIRi9ikMKM1p4+6Bt3cdkRSSflB
KMdNntZeOoqPjcr0L+5Mr2trHtWEYApZfR9BrGZpdIR8gjCm9JKigvQ8VYg3jPZQoUK3jdyckA19
M6LhvS0bYHE+S2C/xZ0sCPnbWMv+ViTShRuw5UU382uKIALeI0OPOLoL9WX0lc6I9xh/F9AMpzTY
1mkEUa+d3kRZvcYCOAcpCTZlEK9LcMsK1NUZd4OZUqJko+EFUTucx7L3MrWkhZwxSldgrLhBSx2k
us8kMU+g/QgJhmXzRYzZGX4vWJvWfCZn2hPmkUm9UfEvGCMe7xJzOgm52cSrtIrPAlkbx6JPxrtQ
EvC+1+a4SXroK3wAj8ZSQcuU0gkldVu2TKCXKjutTEdr03QLMLt0BnEyzrpeiF9NnwCnhPt4a5aa
XbO6P/nWlV/aXImvW6RRIdGX8/A74eqHCQlEGp8yMmDcpwW3bhHUB8GEBQCNfZH7bwNznm4R3+M4
Z1u7CPJFvX1RNL/bUC2QLM0jvRoFipPKeI+HOXWSpaCmMoKKQY2tL8V2zQs/g/yJljJ8qFgPqCGL
hYw62IxZaGdU7ZGGXNtfCnlsKt2G+MqQNGfK/P/2Dph5OK/yv++AV1+f3/5VnCs5sMtv/If/WFIX
izH/kRXUp+aiVvp7Cyz+ZogyelQLrBTGXxNs9Y89MGN5SzdwB/P/ICH/2AOT9IrkVlSV/7wHRk/7
80RGIgGa8CwM0qKEf+An8XzZF1GPmnXEBiHclbXSooe09p2B2DPS3JZVElU4t64Svk2ZBLuuQs9P
IKASRzQFS0agkYYi8GpyA+eUDhq7dYMeR72bCBfkxX8el7RBISKXQ1oSCLHVUZ83HXZC1i9hegGW
QS7dklsoGiQYijNZhgaRQBSWPXPVJelQnwjTIm58dMqhvBsM6dFfchH1JSBRBkYq+XPOABJJvxIf
1VjgmGneM0kQd6xmqWCW2EWL/MV6CWIcGpmEKgGFXDG9ZxpLG9Ggco8T1DBspUs/+Kh88QIWExfj
5K9rEh8BriBDJAMSc8Ulo4wjKCO1x8T/NpMWOeThzSc90uAq4IolUNIQGXDPTPXqomQzZvQweM3o
pkBJmavxLstUzyebEk6TIIuPLYmV8RJdKZmsBhIpPZpSHeGkLm4VM+NxSbycAon1wpKCaQpL8FKQ
s4Y1FHBgfBCpWN8mEkWaAejQyP8w6xqzT7ZXQYEOmbBNg9BNuVWeC0I4R0SEDaGcDb05nXFM9HtS
gxTkXq6qcov1welmOil1OUiV+k3nrlHgbqiguSJd+qYmsU5cT2crav8SLyGhjdFtC6jEL8ISIMo2
heCAvJvfecCbQ6sF5XGwGJb70ewUYwITIRnfmzbxqCpOkJG3Udm9R4JAr81YN9Lfw5KENGoVW9Op
jQdJutHwPdeKfqXjZpWn9I9KIzuJJlAF4ae7mFiUoIWBypitYtgVNB8uqE+Em8MUYZxEZNZZVsDu
PqbLTgi3aoP5oVSaxlYjoeBfKKu304AiLOODT0kiRVhC6kA9SckqawxHzTN30JPXsZxmNupMTMbI
bNgRV2gG1DqD+hYdhUm/YkkInHxiPWYMEzJYIokMQOtOpAjbLBVY1gte2VHIhAmQGJlOUhEUxsft
Sc3UW9His+06TKBANL4JSQmKjzC5Bnc1dtmWrXCcWSZZxK20Fuu52mp5seN0Kc50QOlq6pJXDGsM
TmayxPTymcgbBiLpQIAwSFwEdosVtCJBwi6t+ZnoCWvVmZRWslFf5wyCF8fbcBJo18rFXtpWwlZe
DKfyd+tppyc7ZXGjauAfs8WgqjZMa9IR+0yx2FdrfKzWYmgd06bcANAq3oBfPpGDxfuXJcs222RE
rpbP4iB4YI8HJ6nG/ZRO3zhFAQ/h2AHalAOMIdQLDDHEnqBQV105omOePkPD3BNDhyI3vIt7/VR1
9cLhDhO0w0tuKATMVSyTO9KBEgDzrrpmSwRRUtcL4zrZAeFjT1bt/JGfnKoTJpth2HXxzBJC1Dsb
I52F5guqce0jVYpEvT8yyk7fYxFIDe43bw7xxQmL/lhnyTbrw0Ed9Z2vandKrt3iQtgHOnjoJMNV
1HUinVlFUx4F0yLO8gSD7PdINj4asTC8MJOgPGZgvsQJQQs+m0idLlNRfwgpm+SuviOV8E5mBbr0
QqaS3yeYpYc52TKjcY2IRdZcgP4tWT/V7L1Y6uFr1oqz2dbNXsL4iQy+3UB1RDexeCsV61EnO4Y6
Ogcl1vurqcTBRh+GgTxBqimSboNrfrb73KTRC8bnrq6zW18g1bWSL7UydVqp+Son9dtgpBfNV7zR
SM9TKl9H0XyTE/KMG92vlsA97NpqTfh8WD+MSxT9qFqeiI1AXAJha8it/B8EIktYbEhq7A+X8eVv
G4W/wAC94MFvm7/+zzKu/v2igWsNHqy0TIl1hrtLXf5DBaYPTVQZEoO0DJ8vi1HxuZlRJkhhfsN6
jFle969zPezKLCYZMsj3EjdZhlpR7MvnzErXREx0d0msIgastK1YBAGmNpxCy0unLK9ftLyIZlpi
6fj+dvLClNs//lP8KhaVNBPELY+YhOEEWu3v/xTmbAFGElnIj2S3btWMo7NYzqwID9oS4gP22gp5
Csae7IN8ZpbhP5gJ+HhQ8EoSvk91J9+NY3XoMziuAMiAKeaoR3Tzpg0IqXhz7nO/nuE1D1chRslj
1AG2J18LsIAS9YLkkMt3mO2xYPTkc751nHO059lK8Dn6huUQTJbjcFgOxp4TUuGklGuTIMjotUvj
dUe5HqaBsFWWo9Ug2ec/rz2P0UddNMW39v8sS5uPopy4h8P2e1rHP//Kc2/uz7/gd7+++b/f/zY8
6YU587u/QKAG2uDafdXT7avp0r/97L//yv/fv/mXr+8/5X4qv/76P2+fGVvJqGnr6KNdSsbvf2/7
+df/AX23LMb+ffGJ0Odr/Be/429Vp/Qb+whjWZ5o0HD4USg7/lFzioj+NIv/GNrCTGYB8mPRKVqy
IYsi/Qn927Ie/19ksvSbipKeOhFvFWmv/yEyWVvevn+uAQ2R8lWWDRFTlqwSyPL9uf/h7ezk0q9C
WecSVLOmQMZQxs9jZ6GqK/DVFobQOXNlJlu/hUk2GVnNUjfo122vxXtmD6GMqaGMD9bUILVpNkPb
PZhh/KkSrAqaLCW7FUSWmrIxF0TOPw6cMamXict8n6WoZoPg2IcFH3MKp0DWzwG8aKcWkKdIi3a9
ENaSFoOPC0A4L7O2KOim/Ywg7zGWaswVOVvSuNNgP0QFOpC8EsdVoyDUzDvqRGrLQ+lbjhEWB8Bs
3YrBANvMWZf+H3tnsiQ5ci3ZX+kfQAkMBsCArc9TeMzjBhIRmYl5MMzA17+DIiksFvnYwt6ylzVk
ZmSEu+NevapHN0aWmhsFh7RWnP4TqXHGUCiiU2AE0SiD44jSZVOaHhWC5Bi/CdAJXN1BjRGPTyV7
oOArtrOH2TCSXVYXFEHR8+aX8jzO402VqJMgvIx1ufyq9Lj3suQ0JFT9deo5TAUlr4ISVPqqkvrV
hJTbQmPU0eSuIX5eQLC++JA1Wo2nhHnPRXHrFH6tph2/JksUq8QkSVAYwz4VyAAKldk1CPzUjO/F
tS4R+TGyWNywBxPVzqC1rWmKQzJM7QESPVeNSGLviRuXh28WPDF+QBywwvhSiGw+R17A7GFmLrV7
zq5IodlaCMrezFnLC1Na7l3ciCb2zoBO6JjgS+yCZu/d+wzTXEjR8IaigHzT22RmrXGm62vu8IRP
JlpBmVTbqC2P1RCVO+CuByAlA455zkGp+CiJiQWKE8lQIEGC3QDxoIV/kmOYf/oT0GGeIUSy/MBC
O5UdMJOqWuLCeMnMxrsEoQAUPdI0paDS7CKlCIFLjzzr0hbXZLR1Db4xbJQXHrJuxAifzNkNoQ00
Qzf3qRNN5iOfcJ9mg0t20EN/5+ZDnzBbDjm/QWEEezMPxXUM7E/tJVT7OTn9Qf4e7fECgeJZpdV5
VumG6kpBow/3fKe8dhlhooTU7SjafYfHCfdSdijKlBG1cz/asPx2J4BAlVyJsXizB+Z6M8UgpEey
9vah1SFjQPuKyPIl2uTLMPSO6YgsHcKh5980DuS6Di0Hx5H7q0E18nxiumC31TowMdQYKruHs4Nb
H1wMyBm6TknKNG59ZcZlwNKY8CrHifA88yaNYgp0dWjy7a2wrxa8l/qekSEOm5cmZo6I0bCilLLg
xAg/eN4y++AlGJXQFCoI/HhNmq1dVoydDTdgzcB25w7Bu+zHOxNc9GzMgHebonyqaigLonZ/4M2O
bxhZnvvWGw9I/oSbiFtjlmSt8WP50XkSO3TU4qLM7Xmb6girNlSDM3qquR8GRu9urOILHbW0NtdG
QGEhSp9o8TmFUhaYJQP7lzRLUg2MGGDuIEsqUnoOdiPLeZ4k45ejIfnYtVufmQsB97iptR3qmc6c
fBAX3c7xWlDw4cCWsVTybgxDuYKdBw2djfpiAO/BKVHiTa/anzC6MIa52t46g4uPppt+1G6a7KYq
sDbkotddUD8zVLlr09QO0pzXUOlR2+8TyUk/JWPmI50fecLAgihLce0re9nYzOJQtOZPr8Y7b+Pg
BgEPWxiQr4yyF8MNGCQtpHJwtirx+juzCe/d0OHvP9Aom1RWzoiQQChO4jeTH+bWxNWWSXpVSqno
ScEi5ioE2i5Knuq6eZyi+MUoLRoH04jF0ELL9A1DkrP083NmJc0KsPG1DROFwWr8tFXzUU+t3tI8
+qNVNEEzg7Srae4Otc/hfK46eI/whR4gp+CtUojrC0e04iJmZFzF5Q/Bgesomulngz4WRfRXjdi4
ehmf2OYvSY2HqQiwv+XOWeF1VVV+LMw+uC1UzxjZ7oJWPDpTciyozVl5DI4m8fqUn4NpTyyzLuz4
Tjx23BGSVDyYzXxMbGdvwcCuoHYr0M+ztfgAk3hXFNBkGvIvmakf6eLbybG5QcF5NNBjmmzee3Ae
zNEmklHNb7ET3ua2d8hLBkKHSj1lu5u59O+US95GZMAaGlRS2LAvouCKr/Mp2w46bzaqQUsGuKh2
omKT6mLOqzLFPGDUvn/yPK51lov6rk3BzGnepIV/7T38Z2awKwaUFZRl6mNT/n7a+AWvl9gOq6Yd
NPGlbX3yj0U47MIa1/hIJfWqDk2MdzRJwkbYtooUZswFLfBmcooULNsORv30257Dal904ivzR1R/
JnSkF/rZkdfnY51AB25wzPVtdIUgdrS8Ojl5XWmtdZxKDNkzVVT0l+WBsxmUde0iCoH9KL6N+c5w
6ZZuSU9yFZ7TuKX7sXnJJ/s70clDMEw3LcXuQBBoV0gjX236oDV30VS86OSnb4bXpFOfaV69W/QT
bfgcwrvJ1tdZ9iPFbZxJcid31u5IKIHHOyWNGtil5rm4Mn3j1m0wiI6uDO69uMZxwbmFO6FNJwsl
w+t5BjiXYpGFWE8Zwad2KHahOYh1cUzfKlivdgXDaqjT99rGAlUG820lxQFyNqJAspQzgixjRbuJ
PYu+hOhkknseF88I8/8oKZ9uKJ7OI34+9dR/ZD5p1k4UcNk609mXmYfwkDs3yO5U6xp8tI5+Vj1h
XQACa5Yu9jUjMB96pxt5otJaVOUuYELaDw7c3artH+bZf7G/YQH65xFRWiYxMktwPbHtP8Xse/q4
m8gaJyT0uXzqwfIfDAQsFG0CHWkYHsogO0kFhShMPg0TooWHH6bnyUj196uS4ixjdHUrr4kLEASE
2najQvOMF9wm9kJdcYzLuZx4iqviBbY8W6KVRzuwe5C/zTfcAxEpQazajAC7fnlQRW1UrznRmoVz
9ULvLrImQifKuPbdvYZAsIGRdAGzBS8FPKGacAF0Rnccx+DOklijp0K98s4+F2n/wwNdRd4tPNDc
+iAG99ZxxMlPgpuaprq12ev4COiVh5EqGH5rrC7eQCrTTewdbQyk393maSSyZnMbX0V9D5MFS58Z
z5TlRbsuin81ocVl0H32nBDOr1JPBiUFcY9YMQSEcJPl+TQsEKSY/iVeL2gRhsXzylyeXGp5htFf
ERyMhOeaFUzxZciN8lYtTz25PP+S5UmogGrTwoe8CtKBfDAPTIMPHAQbnqH18jTtludqzQPWXZ60
Jo/ccnn2/l9eLsur4c8LBXI40F/PIYPuLq+mPywULeVwuRkF2Ijd6EcFunqjhfs0lA4Q4MabDrIr
6uNcGeYGlPBtJ8WEe3d5/OXLg7Dlifjvv6Dfuxz//AX5HjsTFjZYPL/HJP/wBYWVWzqxx+ZuBxTI
sStb27QOmJP6hJa2XlpwsyCWdd1rkkMekrG1t3urWaU9yORmeBL0eBSu/yosWHsFKx1PuWI/k+FP
iuyuN8W2rfHZ2+7Zj4In7dZ4W6nldeUVNwH6S0K4w15SD370XjToepG+Her62a2ta2Tq6FyE5c+2
xzUw+IyzwTJC5I4TXGqbl7vKvX3eRu9ZhZ129GA29KSDl1nk92/Tf7FzktWd1+a/Wd0/m/b/PHb/
aoHn1/1lgTd/81xoJQu1FsAItyP778ZJ8zcLGYg2JN8Bk2LTZvWHq5H4DfKCwNBoSejirmLt/tsC
z7VJ2hJTJY2QdJ3a/5Fz0rb+8WrEAs+fK1llXNC1nDkXFeGP77dkCKcE/bcnX+0EZ0ZFd5Mkjb/r
YmIMQEONdQ9o0RbRISfyv+sHBKEqVtFxDEi2KbO6pNq77xJx1xv2Nkuqa24122kkLVOxNHFq3qWW
O55wr7C2l2BP1xUQ73xDWQsTUlOdslgBSP8CImRsQEJ6h8IkhTH0Yt4HpR3vJ/wTGi45t3F5qKes
Pxdt7R4Cl2AiJ3tFzy8Jc8P1i0PcmQNwgqBfpZIxE1Or8SzHYLGvjWP7wFvDPMk68aDIE2vna4sX
gCiZ33IqvxcM47aY+jt/9GOAgsFnaRmPcm5vKCx8DfIQz5npABib5LTjI/MEPY1kvTmVv4aRGL0/
4+Qe0xvZtUi9GAAA/cOpVQaPYf74x6SUNQ9lvCuZa+L9n5+dzAY3mQznKW++QE3eGtNwA0+vJizn
lxwaYKKxKgZrRCCcVAteMbe4QoXMXI5LdLflN+vpQcTBAU1pMOtLbXkkC5L7Kct/mq31OFn6OyOP
k3jlvW7GbzvyP5uIJ1ZAr8MGxaHZ5Jygn0szZQTHpDNEY7OrR0es1FKr50cRPu6aGSQDqNoE4XFQ
LnJjx4+1p+W+Uw9lGr9KJnuVea9xMvCs5QZVl8GRygWYHXLPpzjjdPU6MgyGFuSqJuaZvZR8hsGq
nemRMQwPsztra+Z9TzGFGhZfThLGx7ACy513yEshAxQL3z7IXQLnKaQ4M25eeu1RCbNkvkfx6XNf
8J+qvP5KG/nU2vNPR+HDZcsHKFCqhwrbfivmnZ23d6w6xJ3msFu1NgaiTNtXfwBtixjzPYE2ZzCN
3/u52BRGu3PZDdesMA9h5s5rqPk7q63exvnJNeTPwfVoB+QakEHC8jhBXYKOcT508ncj0bdTPzyl
toWO3v4gsHRhQ9hBS00vAUaIjdl1xUqABnQICoVaPtLSwdIemZ9FU73VcbJ1Imc/5x7tRqOPEAMW
a4UMVKLLlPXB7NtjOrtk1Ppw30yZux0b6AC9rC6qjh8Alz4VGjx/LudhnWE5xaT1MNbO2atZ4POW
vSqS/Djj2djNPE+WPnLfo/bWiu8HnEOZP33HHYcnotbwJIqZY1GOo4f3DE86Myf8avXxBsPSQuSo
P8bQPwmSsPwmwWYyBwiXIw+mtE/e0sBaSw+bDBt81GfgcUskWlvTvhMZ7zjs9HrxGvpTfewL48UM
8l3T5Q8zS3YZ2ihp0AP8bI9xiIell8Bto3KUsq175TjYKYtfGkhLzL422/FLDDQo0uBqxRQ6JLQw
bOWKW2od3g8VpF1T7Oy4vs8kbSmJmIHspfiRyRCLOrt1ivZuUG27awQQOo83MULZ9D0MGpSRXKPy
5Ku4q895O/xwHPOTBhWM3BnfOaiIK0nfae/Dz+eFA8HT2hk9BW2BxyXdULdTTTMjL2Ngde1XMrof
omOZnIikCJxDYfo5luWHYxpbWjGI7YsbQo/4ujHc7QyvgW6DmhJIfRMYhJnd+FCL8Sgqu13XcY4+
qmNsI1zqVwDqU5SppRs3sh81qgOozqNkgSRGFD40lWVjz8u+omG+hfrJcCNgfNTRng9t1MzAvptZ
kpNmpNgnu4t8Pl3KxrlmoeR2kJgO59z0h+ZFh+eAnoNm+Vu56V3CGY2+HGKQkiip18LgTHucWxov
V8lHwyq301MKA6QZHRyeJc2rBh9AgIp1Ceqvnitq1UIruxSs5bovbsS43N1CIAaz+zpnHYUd1one
3evEt7h0PrUASaGiTQULpMGc7zTqkfqFjZ+A64a2kQ980Qpzf9h75VrDNaGx5tav0UhbaXU3C0A3
atWuUxj6TeDPfgmmLhTUOpNs8A8jRWSRFfR7elAWC5aHXx6qOqZuXaypjiTfPHiffdkOd/ZYu3xj
PWg/nrllk5QAdTUNbEG553rS/3AiOWyLrjVPhl+13/9//rI4d/zv89eZM8ufLyf8gr9dTmwb9grP
ReYkZoDlt/rL5cT8DVICMG7+E6R+LhbM9X8/nFAvb3JzoQyASQcx6A+HE/M3HyMY0xpELDz5pvuf
wOdcc8lH/cNa4YPnB3zICGcqgY7zj3OXIIWRDwWR0LFaxJYBlT+NXxhK1YYqAbWeKcfZUmhlPPS6
T4kd9vEu4yl39qZS/IqgPmOY4EFwjgMaTEvMCDsM9MG1mIADCOe770K9d8ZyWIXlFKz5KEiYlqCF
d+9B9xDleEWsz6CDitIC/A7f4gB4CtTNi2s1R9iSO1IeOyHCS+gR6CI7M+XdOoqoIKQuxTBIFtfq
amT2rwZyQCJQqUOfoKpzpXqu2XZ5+owJ7tUoHbqmenVurfSxASA1eeWzAyQcD9ByVnDvm4luvRzO
XkNwLG2DeTMb6UUa4ACy3wfCdEcJyZ3VENfsvZo6oCa4NcfnInuVFLFHRCWLfGYUQnw6UsW49jFR
z3pvGp8Ujm1pnmDEgACDfgOTdk1R4Fq30BJ0Cdbo2aIBKo+fwsn4MTmvlCX3G1cmfOB3wXtHhUnh
HFN7uBNRf5P1+jjr/toF0bnFGNHy6ZcFJlwQXHoDT6my3LhwGwxxGeEyd5Pe9/Z3lZEQYTH14IV7
6a3yTpOcn/MGgkrCQ2+Fav3E1XWNq7ailK3pdlqWN15B9SH1183IbDdKEi/dGDgrrU2CN0X3JYm3
+/SBY9h4dUei+k11lQu2NnBHIM/D61x7xt7z0e2a+sEhz1gKa5eMD8HEwCRL9QYyt19zvUNCoWmM
nkIDXjZIozt49HfYc95cg4UfXkNcbegUuytEvJcNf2JSfsR4RmRqHAloHFvK0Mfs1mPEkkZ+U9kd
5m/HsPYw7J+SAYqZR94iGBoS0nRCWDC1M5zLI86QnojyOMtzHTfrCR47D9tgqU8q9T6cuUzYP6bA
WDUTeKtyvkmq8ty1AbYtFzzjvOUgskEqQJfxHnt3oaZOYbyNXA2YquYHxnO8BPvRxqDOyq3PJ3Ub
/KqrBLbP8Nk1FnSQhGsUo9adk1r7ieoYF3ZqWaAjAW2uV22bn1sZEcZA4MQTgf+hAu8hNpnilaZD
kqM1Ag8e8dfUnTdBNpmHflaI2Dr0+aYiHVYF5Kd+TvZhmOV7y0A1bMOcK4gqh2trFbyFR0waG8MT
DQHKFsZi7+fqAJJ521YJ7VOSsD1i2da3Y9r+zIcBiOdVp/JNxw1YhxywdGl0zdppppuAOtVaiS19
PfY56gTVBjQ7Y97NMGaQzvDuTBgPHvH5ta7S6l7XQ3gjIlsdlpGbuA2YNSfzW0BfZbsX3Vjzv6Rc
4jKtXvzaM+/nQJJOd3ji930tzl06vlfS4FjiRrcMA5T9JCMyGgQYU9d8mij6VPk+gD9P+68k7j8q
roGaqBCXth8A72E4hcOdTNwlCkSbRxQ+eTb0C07J31qyjYazAiBEj17z+6mYoWmhiUjr5AZhvXVn
1sBS8KOlZYqYf9pSEeim6QUHCG3mqUw+O3eYiCkvsqazCJwxvs696dfLp594Tzis8gPk1dXYCZ4h
NYKVrYrwY1oEU2NIn8suOVizRYVu9t6SZdam+5iaNoSzgnYGfgQzJLmCalfHyj7CAM+bIw60vK05
XPB/a+dqpSWpn9ra9Ln3aKXBOfBGxbUcKxRtx2s/Ku/hR511M//y8XwMZrC3ByzXHucROmdx/mjO
mZvcBton5+w4OXVOhwF2rMrBWh+lRMmsbThaEbuheAzGnFLXiUgue9XOlbxevZS7snLyWz2D2cIm
o/lv4VaM3oZvPbAbU7uPuvY/Cl88+01FtdoEqYAjOnW0KcwkLij3puzenLb67sz+LnOrS9HD1cSR
QztDWj0I2SoSFL8vUh5HgUrSkKDbHq22uaaSsBr6NJuw9zik5W1rObeVsk/RZP+cKJSzAud7IsGw
tjvjrc5DAtDWuG2tpGUv5wReecaG6+C5wiK3MkX8oo3kETr3hNQ+PZKPeKjb+jIsm8/cZ4LIVUIz
RDTs0qA7hnqo6Z9lYwqW3ckaw4x3fjRyt5Z7zYIF4fsNob+kLkLfQyO8Nyr5KKh7ioC0z1F6TyTw
0RJ1t29b891uHEJKHvd7drl+GH4k7Hb0MDzNYXNr2Pm7NXvpWi1rYCRp6UwxTrnSpUCEKhzB1pjW
w87gA2NdN/ZDFTYlQdVx12oKTEr/bco6YIPsoI4VQdhhKzX5EWyDujhVTvKri4y7sZ92JZss3Q0P
7bLa2suSixSMytCbz4Yi7tsfLaPe5OzEtI8Fqwj0SVU+o8O/5A2Fhf6yQ8P75nOJrbpb9ms75Ig9
hUfB4h2b9bSSrOIdK3ntuQ9ZY+B7r0hmZUNCEEY8D6zype5eqbt4HFnxqau8alZ+w2LiJ0x4HIR6
txAFhj59bRAJEsSCGtGgX9SDdKSKI6SG2UZYiAIujxhBcAkvqoM9S5xnixLBNeqaLdoEyHYgIote
US/KhUTCqJAypKfv8TvfuTV9LRMuZb/8mSF9FFZwN+j2osh2QjQBEdDw4iJZVr8YGjTroqB0XkcH
6u+qSg/cfbSHh9FkU80X3WWMCG0I26PEJ6PnojvMbX1VTn9vL3pNg3CTI+A05RIbM8FhUakG8qIc
MYOIRfdJdP0oEYIcymnpVm7WYXCf4WfEJo1VY9GM9GhgRAumXUiPDbAk4owBGpOF1kTJ2CMU8C8s
CORp5vauWGSp0s++sQdDhYoVSS+8fPthTMRfXGr/vSIuw736tyLua5zRQxLXP/+4Sfz1V/3V+Y9h
Ctim9H28e64jnT8Uj1m/8W8WE5bDwQLfvcuf9bfsuyAUIC2FOUtxM3AXW+PfFVyuYNCrBfKu7XIS
+082Cdaaf9gkCNHzZ2MudG1cYEjDf76vaaMc8HtlM5Fkb+L0rj9iGqGAvd8EXZIB81M/TKFrTKOM
cKaxcwS+ktZ3xIYYFYWXQ4gG03ivoZn+TJ2iIHhifJZ9VGMaNp/9vttXdXssHEnd08yDAc/H3i6J
APupSUi0okhkFNRg4axN0HCyaNvnZJFxbQHu6vp3fNvbqnIpoS7azVSFtxVVFJzxkloeNeaMtaid
5GlEXYZSRE1N7DDd0nw6vOaNfR2rYjdLDCgalFJYxhvHhGinJgdSRKh39KJMj7UgTu76eXAg6DcT
OR5dyIZ2fHA8HFIq9u3bSTDB+wbLQF2fEuiRQuccTE2uR24j7gKDOGXtFcDp6LwkerttcgVGK+GY
ojm4uCQIIsWJnSfG85h0VA+Ylywsvod+bFZGaZOwTcAMSXOX2+F9IfTNbGbtlu0PRxb3ZAgDejNw
5TUyDpua0P19MSRP/YB3plP+0aF+7Sz7qTvaia3IQ9AF5afteCqkoPi8beKtdPsnETcaKHMtr3rG
BMJH4cfcIuWpyq2OupvFDR1fJdCfOjNsEEWDc6PKKb/Ac+4pVCsAsgXuIO+DyhKHzLZZQxoxnb14
HC/wGyLAnMi8WcTGgWjnrDtVtFhDQcISyr8aTlVcPazJhYTUQnCxZvJy8EhnpL+dEANJTobNo6u2
UvM6D4L4FBZGs531MK4733wwxjR88wvG+sEY9U3k5Rjnu/G59jJJvUAArkf6ETd2RSRB5prLfFvT
IiwRk4KOwzhlpatJGa90VNBX1eOKKXSUb0yTo7ov3tupl4idYPDcvLylMeSopPUi4E7xEV+nd1ZJ
Q8bEzQNt2lhb2RAdccIYq7mX3aYJgkc38ZpzO6Y/rC44+U457QZdww2LWFCFvYQfAFiPab6dIxjV
yTTwKInpgaiBh7U+DPducZTHo6u2doXzuvWtECtbv44yGihcF49a4XebNiBx3RuXMoeRPVbJQc1m
jydldNZTPNEml6iXqudBYcCtduzEWzHXEjwh8KwxK+L77/Re1rxMCwPmlI9Ngx0diBXlP2TmzZkW
m5niiXlgFRI14Ij4GsmspiG5zE6F1z+UDlE2MMNYvGa6pWPxy4qddKNr6m2rar9qLZY8EH63idn9
QvICzEvI6TEQVI8nmL1WnYNPsPUIuUQdKPuhp1KGcnlHEhLMuuZjpvcIwhfzDb6oR5tekbqavgIz
zvYZoYgyr2/6tGvXGQbD8+w598SPkYJNexMrgBKJGtYhFyKZT8Wuou/DEPJltkeaj50Yvq7aOEht
lMjuqrh4TIip6Kx9y9A13igZjDZlhOOF8NxLWnIj4UVK+wuWSUpVWbrqYbwkwHOl6r5Va94ELq8D
XHbHWPUQAscmwWrAupCSiTbsEzHXdqU6sHMptp6VWE4KwdmB31GY/sGBTCEVU6ETmk9dmkzrqIye
Q0c/YgDcWU56qys3hOcUh8dImZTJg2b2jBhzjTbn7eBZhHnT6iMJ9WOJR4ckdPlcu14FST25EVaJ
ddOr9oJPkXXgsSDz2UHGHptWlFSXfnaeGzd2V+k49Gslp2fDQ8asrWw8VyN5dpekvRH2xtbobMWY
KB8CW20nnzG4nu2OsQ70JCLakig2bosCGJQBCq0zsCYEavknM70V3lIqEyk+zPuFa0aL7UaAo88H
76JxhhU6bDdzN8BKHHNSsFBrjbJ94DVGDLqass1gi08M9+PWd8L7uuzIDWcCQJ0YzkkFtMMeumtM
IYHPwaFwyztaRahE0/aZw//ZoN0EBKY3nvXgQv8O9lMAEqGzu+fC76mU6k+2rd6KIbrTfTtBnMdP
2gVnK/ausTCPMQDj0p5OhoehAOCKjo1tlegPMfh7uBFUlQdFB0Le+c7A6U9h/ppEEVW0MccEZ/KZ
2/J7fHqXqZqrg5dTCR/yb5SXbiKfOHoasoEiWAOf4dxJXzt2JaXaFxFqdJ2yIf9UpmuJY/Fk0BAT
Nnl3B2rzUkRir9zojo60M66ci6+7XWkE70mac9WzrYdZQEygxrZgayGOlxCRv2mT9HUy3FPGtLtn
z9s3dfNWlRUhgUat+nT+MkL8HwABH+x+OtBgvGtS/5cTW7+isjpNoTxluOw4jWKBJNGrj4lB07Eu
/ZiR1xlfNP4c9D0DxKonWtD93fhi9rOxqkVlXMIqxyFLEo2ri97avEDdwKJYzX1XHnuZp/aIKOYa
W8J71KXxhivYkZQy8a+GLb1Ox1Mokfergc6GtOw2VcgHv7D9jRPzMqy96iAIUG2FkN3uD+Lwv/Ah
Wf+c5HVdUyqfQiW8JTjf/1FwdTPTyN0KZnqVwBOwCjghDRhU/IIwSnsMhhUpnHJwmi1Ii83Yts1a
+bhuK7U8IIQEfj8Ifai7+IG/0EcE8mYVI9DiU+OzuyHss7GWRxYjKUKpy/k5Zz/c/D/8Lbj54yTA
/gc7dvlb/sGNkk4E6htmHn7zIjkJfzhZVvfoIdusLC/ezxJeo9HsA9u3NhWA3tZIf1ZVe0qz6atp
4OVOg0Hh1iDW9MNT5CMPflNDgYit/MyDLXxreUwXLv/KyHly//uv3llE7b+L3suoSuyAH4EgemB5
Cg39H756neclJ3iFydApXgYjoOenm96om+w4o+cmex97uQBYKgz0GLdDbrKZqlflpIZDrkfBkdV/
Ifpzra0S7HsMzahgKQqwGxYmg+cMHDHldgfvEGBr1NBVmAR80ND/Zq2GjuHQbVW112m8a3Blr/Ug
0YF96JdT/TMOkWkcJ8blI1hHEws+JqmzQ14kV9PpANTZ21oxQuUjQFyzKo+GMqwzvS7n/PdRKu87
cSDoI+/tbgSkRxKfwWWZv8weQ16NxRe59fcBrVpmtd+/u//V25vHu/R/PwGtu/yrjj//tLstv+av
u5v1m3B80gLgsV1poXvibvlrgEb+5kqf1Y3sjDDx58g/7G7Ob4KdzfaUy8sV7xdvsr/tbjbnIzhR
QMtQzzng/GfuG/+f3hAmvDJWQeXyvjDtP78hlJEnUkjyDTOUIATCqKTNolqSA2GSfAWd8ZzZ7XlG
WTfCq5VxQnfhs4zpUfrwZOtnWY0bOdmbhg8jzDo7qVAi5A+LKVDI+5HeoBEn7WT/GodL5s2rkHFU
YMX2ICzXzsBF5XZOcMcmJL3K77AJN3O4bYwH6oOJdt8MmDMnDuFRy7Vi3joNpxHK0UMMgRZn7ArV
YvrZWa8Zjai0qMLIOYvq1OMEfwa+Bj66/Il63lAJgM+F0wy5yh+mzVyxNTgks61GYNKyh4abwUjW
gG9D8+5yASYH434Y4zcgNwBCN2wps/c0QAXMqJgYaeuQgJeOo310wUyVHW+y7LPgvQUaSAZ3RraN
87Vffyl0+A5J/xklEhuFh314GJgk14Oi1p1yVYgjh7K5EBbsH83oLvxpDDuyIdzI8uhn1x9Cf5u2
t+Z8gO3qBgcCTvXZiw5tdSphS4/3gb4IBqnQ91bALdk9hHOL5bz9aq2DfsZZten1voWcrFCEn4tx
p1/MYtNX99W8aa4ua02k0IVKiHWXAJCJOib4Q9nM85tkZlXkLm/uZLI27Nuy+OqnS88PtmpeI/fG
R5iPcJCT7oBNZB0MzngZ45bmdM/cKi6KpssOE/YJ5/jsfqXbMNmYeg1eeR3SR2EfaF0D9JpTnJFt
24uItlONXk5xkbeTqViH9lax4ohbm/YlQvtG8SNUW8v64d6Rli7eraPLn/8TYHjI8f/GV2uInUul
AVvbfVhtQbFomj6pdAjW6nF86stD9QvZ26GgTrMiYFxdJxUXNkqKv5sjx5oZsD7osolSOgxNkAc2
Lt2q8WdwbfUbRwVeYNjP+w4QDHWwu8G/qV8zXOso/GqHYlwGjzioU+Yl6e3LdEf+UUarON/b2244
gSwxPm1xT1EJuGsg72m9c1+0eeauKX/xkgMeD44+9X/EMKE6Fq0No/fUnLhQMVk9Ze0GxDswU9qk
bLEbg03dr+ulE6VZl/QJIOQ2lxqHU0LYpUzJHjkfs53vyYId/OEMtc1pTrODCn9ACrZLugHHj+Hk
HRR/Fe/UDR/OsM2MfRLeOAXmzQsOs8z5dvOe4vW3aBpXZvGg08NIxxcDL89PhQr/NCdcK3I0DzDg
QGCs+xxEOi0FpX03Wi51rBQAtnzLtOCs1T1YMF1RXJ+LWO+SqNsGpnhGUHnInOk2qoZzOaVPnYVD
xPFuo0jv6YD/7CqbjAb9h4EH6sYA+4yMStoV4aNb6KNhvaMLcY8XaZx6rNlApqX7VDZkYFKDJq82
3TO27vKo31Clvo6t6DyP1WbqKMZCGc95cXW0NEVRS25CUY9S7b3mZho7TmJy7YKFM/P56HU9+nOG
7498ADHV0iV3jaPdbw1KGtKLAw4oiBOy6Ley+05tSBTov0Z8jfNnxbTtOfveeWiI1zmbxD0UqFKK
KHXXviVAtQYwRgbys3AXe693dehKSEhD6MK65zZFzjmIfzZtDk+Bc3lWW4dpdqA/AEvmHUV4/3/I
O4/l6JE0yz4RygCH3obWZFAExQZGCQ04AId8+j7IrJ7OyurpsVn38rdMGskg4P6Je8/V4SjEi7jR
zxrHjiGO8Oy+hBavrbzeDQn54z0pVi0dgQRLmSwzgqfKhfyJZgPVIdbJnWzdc4fKi1EyT9NnPIdk
JFh73i1ScrS8WiftusOyo6Y7H320yxEdsOO34iubnKR4ix2BdnvO4EHVJaivbVQofCYO4VI+B9qd
Y0F8/jWDf1JT8d/iiv1vSmvj3zDC3GLYTW0gELO7+e8h7VM+ot3sWWs1vvkdSWejO9p3libJLjFY
rEveZ5jd3rJjt5x5wfEvd/5/8+1n7vu/FJV/fHdHJzIUn6zn/q0kdrK20ghccDkr3/rwJZ4h46ix
5oW2H+3+5+81Nwn//r1QlPhz/S3+buOOK5ZDAL7cubQ7JHp1aL38OSjr/4fpnYnr/FP/63cSzKZs
ZsruH66Jv+lyc0MiVJmoDIwu/x4GuQsJI0Fh9sAQaC0kmBJnCC8sSONrkQwvCSjPRUF9m+fDuglI
WDE8Wmib0JO9ryXv7VTtugipfEtMioywh8fiwuu7rRXW+iQl5YqQL3QROfm2rMns8cWVT312n+B6
Rbq1K1ihlAg70/GaJczGauqU3F80OuwP196ylb2ryrXI1w67635ZzX3WsoXq1wMeZ6t6aDk6YTSl
xrAOnDsrRVlWcs1j5bv51YVpVJEcJ8SiVfHRszVsqQgYaOFVPKQQwmC7pMm1xHbmZx+A5XDWfWjh
ljlEhte90DYzoX/4wqXuqh0QO5zIxG/rGc7ghcZaGBhgqKEiTIhagsdSNCfExJzDLKEXGqtHXLz7
EGJ4AZs9Zt9rbElhXjju/eA/9PnWSfJ30+PYtshCZE6mI7po3JFcE/kGleFeUXtZ7naCthfXRGhk
DwPsrCTil285FUz4aDYfse/foS55Z1x5HT1oyMyODQ/ns+xmA92BtRdv9yt/TvOT7MBOezHdjjQ4
Br1wCs1SPWnh1cqPbcs0LVQP4+CQ1ov6N8euVwLjkWs1XYbkmhf3PUeEjt8K8dEq9YZTmrCQr+9s
5JORdo05ix0nB8o/HXU14E02N7rBIGeqF85M/aIRQo8h8682mEnq2xyepixQC+UeqArxIHw+BKxy
pjTfGvnORpWshc66yxSZtTg7lilZXqHsvtuR7+SGNxnRZw/dtibKJa2+afZ4iurUYv2cH3ECE88S
r8dJviFrXLPp2MTqoiU5hgsiyrI1/L913eAh4+Zp97p6Jbje7N6apFuI+uDGzd7yuv3kW0gTSG4x
Hszh0mWPWVmtc6+ZzVrLmCmMZx0Rw9jjqxFA9/aRPwC96zBL3pyieJWaT0BciIYqPZGkI2Bott+h
/9hY7zk3zhS0u1hQDXyA7JsUWffpbVLbuiD9YGSCJKphpTdb1XdbCRSj1QlUsxb9wElvMP8m+Mis
MixAw1ZvGbXmcmMz2R0dgiJBMXg8sEb+oEfH1H+LKu+uCtPVJOtDnVTbqKGodgnf8iQJMg0Y0+jd
9Z8NK9yMBX9G8qBZwyfeszs9JrAAAzfA+8Tu3ZjId3mbQH0yMq0AHtYD3JUnd4RFGKXHFP2kM6HX
ah9Cu+fdeQ2zL085q1oBMLPkwcr6jdFdo8DapkNMOjD4bYlUXFr7jPvLpHMfUp/7nRVyfC2jEG8U
FeXgb/vkQ4dtmtjhMZy0bYdkzMnvRbMpKBkLpkd835Ud3kc8cl36oAilj3qyAqxxo1ipIztnFw7+
SW1cViN+kiKgzVZaeTZ9c1VUFGhgW7AfG5azzmC0wBVaZtm7I40dQMlFw8xufNIaPL79j5Mf04IA
PNJq+oiMJ9KiPZ9ZF59wFQzLPlvjLMLCtjTdineZTmfgtQVOWqFGK7I1r4m+aOcXNznEw93oIht3
00dgNBCX6s+QYe4IF69vpLNSCcrdQj7aINJxyBNOqQvvMRwmByr7+OGwp1i2RM/CDPB4KjbtcXrX
zyX/nwFBP7WuXcl8mFkp/vguW8oCLZZvQPIpoe945qo1IUMFrTwOnvEUNPYhaSULGflCFg9ppIH9
UhduybaiwdI2YxONQcllhk+uIomCo6AlS9ZgHG6ySyHh+9gPHTsDur2yhveiK9yStiQq0AXRaY+o
SNy0OKu8LheRlj66Wv2SO+YmKMy3fCCqFS98knaXnqVdV3HD5KpcD/2EMER0Eb5jQhH0wN5HvMBl
102bvG+R4NWcuxOy6uc2ZcCbNzfWGo91aR2UVn8YBrPuvE/x0Gu3TtF2BY04mqJ7M02A/s6AKyWq
+az7aCZhSv0R4mdMi5ejpQI4tAt1i9O/MjXYyPpWjKDNDNZTtj+W91ys+SUTyNc8z2LfFa8wxhGj
E/ZHZyj8FTgSuWZXCntFDWIT1dQthvNbc9oBpBbBzlI292jQ3ZVJdlNj7m40LeTD0eu1VSYNx0TI
SwI86ZTk6KJbFTFfq6t7HY0f+RIEkcXZLQIAG2ntxGtpbqYi+tEwCJOXZH1XU3quzWwEys0dYGhi
lZkFoSnQfsfWV6tYkkfkTE+2VJeyiNdAlmCFj913M+VkmGVEKRIHzOKadh0Pa+MOT9pgoluIhbEY
Mu8dWbnaAOpe+hV5MDETEoAZyTogydM1iAljW4D5lot92flq37UkOOZ5dcdWjA7AmaydjwxzZREb
Yjus5LqaCKZ+pjWTk8ooXzokUDnizm79ixUnYq2n2AiTJLkv62giZyvasEKmZcxxPvsKvQ4FJS2s
7L6SPEiPqpc7qw32jh091Q0U8kQyPdCMUJ0aG+exAK2IIHDDZ00iagODzmuM+uw7yYaBv6I2QmNO
zDsOvRySaaHXd1Nk16u+AYMbSI9guor2LqqNhqxfBTLZg8W+id2KdSZO2WY3mI32pvxh2Hmz9zfR
tTPjv35dKYS3ZvoVeSF2SWPEx4PeDbXIibXVsCt186NCPtdUmraQWY5etRFXs5+sJWqTR6eqHtMU
vWjsf7hzUo/pPbQBfecUzNtW1Xw1dnmNQv0tNKeLnIot0kaxrWrvDiLPt5XLS9wnn73Hwg8+MPw+
lVEGqeGYzDhOoBQGUTPZ1R1QReLohabO8GNyGWjDyP3mEaVXGoy7WvL4ouh5NgPzqanMbj8D/1dR
QDiJGV6khbDO6uVBs4tqBxaiYx8okrWXBtqB66S8d7P0WYslwDnMXxbEvAV+x8ewKJhwsOPbmWX4
m+kCNWSTAWlhiFqEUIgyC0xRNwKxhYOSbOowjpiE6NGy7+iiIGaclVbYdC02fDtNxRBlyxtyuPiS
K8gwQyT1A6Ltfi/NmITVio0UDMxjEVMAV+gNQNR/VWO4dcL6lk0adgCo+aiOPAdFZ+40WwRvcxh2
ADo28yEfAf2tokmgoq7u8wnJT6a52wE4O7y3OYVkkNfJG/NlnOmXUPgnJWaFwmAfimh4B27w5bXR
rorcndCYME36zW+nrWILCSF0n2H5JfYiOzgekmbCajYysZ9cAWxFthzoGTlKybPn56ewA8FU4Wgv
XSr4giLfrR9iiwbXzV7a3mXknR6MKmFkIFgP54yOeHS3Xi8bhvnxCuQk0UKkYwGLpn/1xdlsWLZB
zlBR+Aa/7gD/F4B0wcwsKzD7xgfDpc7w9XyZjfabkYLgnrLjlFkrO2ruaLQYRBnXONX4q7gEoVVM
5yAmaNWO3fQ9Gk7mJNoh0WwTMm3zZKXs1KwBLYaN+T2ZtkgfT9nIwL22xFtfVRxPjvGauvWuxarU
WQFbTbJ14CmwkFhVLcR19IiYZ/adgvU9Gc+iJ6ZH0Vsz3htS0HJmQXwjW87R0AiMNe5D8rJjm/pd
wKVOImvDhurFKCnktdR758K6ZAmEA3SXW90kSlMbwwV32Z2fxOR9RmmxrioPEz62GTyMtrYSgYGJ
BIBd0vRMsYS/1gADVLKX91VR6GSgc8pqWEwWcOFHtH3q5jbozuaVHCEFKiRuErbdZorajaGHV1vL
l4lOk2ThCyZdFflZ+z0V+Z3dhBtPN1mST+Ou4yadWyj8L7F+a3spKbBVtrL8IF5iWec/+toSEAbS
7jI5mkZJwhaD4pHsV796LlR/qSuaCNex7ku9vlKxbf06fJ4itYVmC3wolSGfj3oZax1XV3WpMof6
cnQobrJd4yF/L7z+mvdatEx9gQ8mW4MRhM0ers02ujfm0Ahpqx52mPE5GObFBL5XWJBOktksNijr
E9Y95XCYkTCFMlSbvZr86fvqN9WYeOjoHqI+Og1+0TGLi/ccipfejVcj4ypmBNhl5GsmY3YyGBtH
lw0VnYxMyakM2fyw0DNwOnV3XmGf4pD4asHFNrQ8NvB7XO0VYw81f9lh9ymvEG1gtDsoC3hlyxqU
p9h5FBQgq58wFy2tlMuszrUnQzVnBOcVR1eLr6KjCBSJYS10yqOVNDJ2w0bDtSiDLfQh6Cxxd2+S
xQH8YgDYZw3DVg2AgsAhUtGABqXuKUn2Mvh/HdqwfCoZLfXtSESlH30rOYdKukm1afvy3Wq5SZ1R
R3I46Jsi1vZlWd23YmTvRbG/lJrEXtCTXBbH2mk0tU+PXqH1poPAtiGbt9YOH8cpIrlM8DfOym4N
n+bAj72j1rgajdglSVQszUnfq348+GV97OJwY9SIQvtg2g0sBUtb/IR6VHEFj/2m4MfkgRug+lAR
0oeu7EzDL8dkXYw/tSHeXfUUTIJ6Z9z73pisjZjQ6wkxwzYvFS2iP9vdRHqdBkGvaT46sea8Sg9g
zUpqrX3WofTjXQiaddDSdEFosX8GLUHWOAi0E5S2CPerH/AyL5OXHzS00VBC1kiyNzG0o2nwL60k
jArTMUndZBXUSblpBNs4I6UENb1ovBU1Kwmza0hct/JXUFe5sNb94J0M0zvq/HKFrq9Kuhu7qrZx
ay/yFBKKO4e21cuc7qILm/d2YBYBpW8tWx1rpgXUsB1fmqB/EhPvbj7FH3L0yTuMdDzMlN6Ffwx9
6wL992Cp9t7UDYdCDnazPTCzq3+ikCFwXp4RbD07ve/gUmywjZXr1rCYBKIvGSJcpSiWFrZ0FhHb
9b6Y9m0/rsv20++eR7SqJgF+AyMRCfI/hEyx9DwGPiFnt4TdiKCfZSZjmru0LYlaJbGcRek2blJW
12548WjXUoyJgFEiFE3BNdHmZHne9So95HkteT5MkxVOXEDOxAYY9Pjb+qarjprMwXEPGBnTRPjL
Kmye8FNu7fQW2pIfcjjVaMbQgc1oYVu8KKtk4u+BiiEMLM4onQoy0VhotXBERdPdN6gxCgviYOJW
7LtORkcGXnzQgWNN0QHsDqKBHzI8ZZC+Cu7eA0Cpd93kMUoIbavb8UaFQLEVnHWT2s9yb0OfXBAv
/SRtvDJDfv3J34yBzgqK5GLJ1pZvZX5OHkYmo/jpPH0jWpKlgnoL1ObJm351at2ETJciKJbs9z/H
gJotTLVzMqKNYH6575zE2Jn1yNVbPvG8P6BoI+IvlvYtLL16D511axVi40nnGx8wgS4CtqPp4jnu
uI7GTZ1gTpHdGoaSvQywc6ISuFc8mjpJdT6IooXO3GMqAFqCiXkIPS3FyC5WPhnzHdmKelri0LVv
ZXPhSD00GIU0V9EIOP2mctW96rrTmEl+M2iniE9XdXr0/Xbrj/eIIz/ghD5FY32IPX3Z0HHZHjjN
wcMZ8WU3hKswbkimU94FZ1UOiwA1HOAohXJKD9EhuhCdQiYhCIcmaW8b7zGl3Ij5J+bYZac9aPH7
MPKq0YaHbby1EW/HJn/EY/8+yDWIPYquKSeYbRm0oNPqZeQhkVlW7zWU2KeWgLjo7FMFkivu26dK
vohZMjQSIXTrH3yG5lP5HjnTRg4HhWrzy7kBXpN8OvcJ4Q/jIWiIH9+n+SNvlEKiFRuMgwpQvy9+
dQidpYWokIO9fIvJmKuP4W20zsXeNJbTU3kTdsvtthylvzXbRwCujnweGA7a8yKTUGqzujRM8h9q
uUOxYiBRqbaBwpa376hgZtENqRmLclbz7aPqnNdfHdF3wY7F06QONc72F+fqJZgTsD0YZO3Ix+FV
oNfN+IeGRsjTYHdoVMg+M2xQiXIReo/tB1tRc3rI4ferY/eday81lIaeeUhVPcgjngpY8xkz3E3Y
7YtdZxDGvCegcMAdk+60FM872QiBc4QIOwOfWQN9RSgYzX0uLpO3jE5UwCs3JgeITmV4g7JAOK/D
KNHuPmIoJ8o41xMbMPeBAJJc7fDxYMYwGM98Jd3VAWIPCvdaxKfybhwuLlsv9RtgVexfq43+2YXa
tWglnOAE2uiXF++y6V7TT1gO2EJTKPrePscF74DNP6YXUHRgIT0xLeMX7y5oAEvNdkPGzsvW2lne
e0mwRLYaxcINdAabG2Vf4u7GsNHhJbAX8qvTmEIx3SNIsN94wdKjAzQQEDanvNllO7ak7GVmqfMs
3lyX6Y4vROsa5ORy70zz0SfuPdzV4ujQA5O4sJBcnJv0BR72tOLVWmcMANxhHzwnH6PxousP5Pwg
IyF0MqOIWcb+dbKINaXcyW7EGfo6UhCSkw9cfpSNtJypsR5ciuFm0Rwt45BPzyI7tNesYuNL5cEh
mrxzzGs8TNizYba47x1gKwvG43NfYlA5atGlEI9O8Ej8zoKXuzg0pEP2uLzf4J1XxhMuoBDPdrbE
ExZhuYmaz+Rh4BzbGqzKbG1Hs18V5aZmvJDsDBOD/teQnIeRaYB6aAlTmINgnVvtvRoeu72GRMMk
fKm4m9rwnfnMTrC78jBVTuOd392FxadR3CPWXoLURjRlXDsBkXrGr7XT2s1+zWpAOl4z3r7W2Wfc
GCtHMeGk9cdV/Qwdf9EM7UFvd7r+qXs38NgLtwjW8ynSGr9kqqAOXMTpKsjLZRxgvekf3SheapxS
c8sEWDxg25BGzqIaH2wapEG/Bdq19iuePBP4M7mCxBGVHeGgloOm0VbIvIKap7Jja5v0frFoMIrb
ab8JZb/OzfpH43jOBijhWnrXod0uZb3OC5ZYRvyD73yREUjR49lF7DeLS8mugHcw8vO4kFFmD0iz
1JT7mOHopG1Y+V58tPt3bOzLPFKbIvGOEa77QXCrwC0JNdJLElhepR+duixBdAjCHBxws+RQQDOB
VyhO4wfcYZt4CAAX6mxrGsd6VIWBhnewyUnXJiKtlb7qDSJMe3PVFPUz1zoxvZ23iyyf5UgD+Y5y
O6bh/2Mn9r9YdyRATv9lLzgjhP8J9b185AB/H9u6/hn/RXb055f8KTvS/6HbCIRmNq/uWr7JphBx
0f8B97Lp9E1YQKwPPc+ejeH/5RmZoT94yz0muoiB+Kr/1B0Z/2BRwyAMlRDECUwj/1+eEePfdEfE
VcDt5Yd0+AkopNk+/kVGyGQTFlpg9otgHk+wvZh2IrfotPzOuU5FZ+DIRSo5FmZ2juP+WLTZG+k3
ICeJD1jlfoNgQRnooWF9optk1eQZ2yTh+FGscIQ0b9U4BYiLxzW2ts3gkGTqtOVxJFtqJQwEIlP0
oPfZR1ZkBlILS+0nt3kxO+ikobPS7O6msy+s/fIJ9js5QIxEAphWqd9bSwiT5AsjrM6LdsnEEu0I
iVhD40IStJ7Ndto7IAU3Vd7eYenAQOUcZJYw1XBoX6ovkzU2BgvApx4Bf2t0oVBeSlEuWwC+7MjA
ZyQdGXiOchhzauZXbqqn3mw/I2nDa1cQTvp9YBnHvidlCQLzXVVZxdIK0/3EzGKc02BG8ZRSKi6E
xEON+ZdzNrW2bjuNSy+oxCE3y+EKS4nLRdpfgp1o3Ra/ou4TghxR/YxzuEHfp5ve0NRKpFp0NG1Y
76KJio3r6YQ6tfLBcjq+7Rz5KLtlP4cFUqpPPnP9UnTYKcfIvU/qwVrVzLsXgeEuacIutOU3BzE1
hsmDn7lHWEOHqkKIoXdgXAa32muz/5IR3LONIdNxWWqqIFhMtfERY3uJsW1Ws31Td+9CvDFdpj2y
kSy436L7bmgvbTdvziyq8LzCDVrOvtAGg/Vh9PUBXD3KWuFz9dIQ/yZBEgAhrSHqQLEcFRkcWS9w
zJblWcYRzAKGjCq3003hEruHxTmG3kt3Wq+KDnNzU/o2oiQHG7/uvA1ORCQbT+2flscofnRb+qWw
eckjTuc8arl7U+YupgJFgKo/j6ABliOtoQEAd5lFXAdmLj/s1Geuk1hHksb3SYNbXAzOl1X76mJ3
9l0t+rOK622QMAgx0/oJ1/YVMMHsV32pPPvkjsEWYS49VM+c0hOOQzJiusoNSKymvwyzEG+H7ny4
fllshxJJms6YcjEMnr9mnvY+ygiHlEFsb2b4GkzHBM2+F7zETXCpKrIVeo0hS2Aj6JIgI5eTCOXK
sGh1lOglPII0XdhNHT7wRnxNdLtlwvaTOcUt7kfouHaEhCHyrZ1k4r1MG6JQbCfegm3FnMSxtQfi
M665EC9jRoNVjRdB+OaK5L91IPwDuoS7ost/J9WxZ3EiuXUs7ZdJXr/WdO07D/1Xt9RjqIX+yHxt
3MdRc8uIj0wqGy1d/tzbVr+QBqRFqUsK9RKZmO3gqMcOsRjT6JhnBbz+0D+SbciToptP5OjUS1XE
+Uq2Djl9GlMiy9o1MaixsPJfddnlLN/sYD01pIfkhn1mmH/s4GAj/9WPzBTBYRbNuBky67EhAXD0
quEYW+M7I6kDpopmYXXauWlnhrITDifwmz8mkuR9aRZnYYTeqqsrMFt9TBUqgtVQMzBuOoLylITR
aqB188vwwQ7QtFVdt0KozcxQli9dJt4Q3L/kKR2FQdKf4bChbJP4M/EwMlgh1UrYEPhGqFg+sQPk
+vEzrEG2ZnpnGtUnoyuPYc7QSU8+U86EdRQxk2CgFkcvjuWQ7aaA4YLq9lZg6q1PI81eSgPzjdf1
CJcbrD9Z4D4lfCfmX/6u1nhFu6L4Cj3nvu8apG75FYsaegWtjE7sq081vORFUdOmkVbQrTPH4C8G
rlQH0cnfAXVEbbZ3kFeeC71cO0GPG7ZnlEMSq4fUbLYPNuxHvUjfsm9Fa1FPzIuw2o32fZelV9/r
adks1gN6YzzqOiN7NCa0c2F8k1m1BorMytufUIuiFc0pkX302bh/x2M29c+B7SAGyN/CGtllXzG3
tARxn3Z0mcb2V/WIGyKdwOyCRIpMiAdUGueqYRbtCDIVXTfE0OKPp2wY137K7MHvOxK5LGQMSTVg
VybwtRDOug4JndCt6JrK8TrOCCNBdZ2DG6pr3sDQjLDJGNqrp+G/HpTzp97of3Ntxebxf6qttlnZ
fv006qf+d1+u+ONr/6ntNv7hoDqjxrJmATeQA8iG/6yxBN5bF9k3Lg8QolT9iKv+s8ZCEj4XXkiu
wQO52Hf/WmNZFH6IyHwHX+Ysxv4jduK/RHCkSvxfRXFUbNRQ/6LgQgonDM8yYfyYuuf9TcEVjJQH
dYgtKAVoiuPBKLDyqXWXtKeWU2wCZ7Zu+urDkC1ikUTdwJHRIugprZlvbwI2qqw2h5NptdOq76cP
eLIPhCOQWguqzTaHT4llcQ2etCb7ySSoKcgJDqyRzwy44VV1quO+YZTBKNK14jttdnO1EEz+iGuZ
Qp2lYRfdE1vGnkBiv9GA21M+MFzF7rzWevMh7PCMJfXMY08LHbduuy+8dji6VjDHuY/PpDJ0y0bP
GVliRItnQxrGNHt2qIkY66aYXWsiRSYgENNWY3YuTVj4Ibv9TmDATcPqMTTq95IAwSWTWXrG2Rln
e2ggYsxyGGnDfTofJp7Z84PjqBum9JLnzr3RNeXKwnNnVfh1HNx4Hqqhsf0o5yGL84ddbzbu8TgA
o9DrFsH8QHjEJuGdveBdTU5tmewd/H8CH6BWs7lgmsmWmGkzWV40qDr2Kh3dm2fXt94kXCWdrYX5
bDJ0xu41xXVo5PKxwoWo4If1pocAHJO1o0NJw69Y4lsUs4FR6xhERGCCZ2sjIWsMqCMynnA9prP9
sQbDvCxwRA7op7XZItnglewjIB54J/3WMLCByVWKrRI79lxKwPSbsFyi4NUPyDpGxMbFJZ59mQk4
HaiNHMTd2OVne7Zupng4C8KHoPNki5WylwphfEPcozl7Ph3Mn14Y7FISXRDmMP2ubfWgZqcouLd6
4WEe1TGRagO7sNlVKkImRl7STMtICEZkcfyuzPaasJ2Jy0FjqAginjg6RDjjRG2i+O3KUhFb1G4S
xgS+XnhMYpyd1H1kwPlM0SE8epGl5lfihavGz14cm/qDwE/gFfzlFo3THEan+OnV+F3FBHx32VuN
NeLatj5tf/fSIGhrWNKKsGR9ZqR4GtwEh7MggiLR17hkp2Wi+HTd6Oo26cmSBjTSRG28yP5xC02/
F5Xu7IwywAlROWhZsRSuW0sbVvZQlNuublYOlGdmKNBdPIPXlI1o3p6Az6tdTFLXMp9tHGlmEBAO
TTpKs01XT94DwmPi0/LcewVM+jA15l3GwvGQjCpdMx1mvuW59y1u8UVvOaugbM60N/Fy1NL3SZBQ
7nEqrCObNXiOgTnvT05Am+IJ1n5WB8yDMs5fCum/6JpEbVbyioxNfOGqexaBxuCIMTzZhoxr9U2N
ZmuZzrmrKHH6hTVnsZLNtC4apNdaSWzVnNfqKZJbm6r4hKCIgsk7pgmBnk6sVhEqaVKhXfK0ELip
QmQbpZMJW0t57xESKxHnF3NqbDrnxxYdyFTDhXrUJ9mxqxnftHR4VKyMwMq0hT+TzWvJ4yuiFcJq
izm1NnbFSYPYfkeXeBhCDMhtuA6S9D70scYAlxxpKLQ3sCbfsnNOTR6fXHhFDFLt+uzU2u/MQ1t5
GfTlqLFO/WAh8gyqa+rITRhYNyelrABQgwiUZXYw9B9+2v3UDmEX7dhnWx+r5cKe2lPgtc+j0ezt
jD+1jLwrWkyMYRH5C6r+iGFQoVkp31Sjfete/tkrMB2WGRzSuD/HTfvIpD9aIX2ZkD61+lemSW+T
tO1NKqJGUvrTSKlLao+PA/uuRePxcIYgE3BMRN7eGVCz9ykD2RL6dWA27bfmh2e8BgaEyWI3Kh/2
kOkezEIc7Pm3kW5/qTSfcPbhwuiOFECveS4Mk929zSvFLmKtyFw/T63vrp1CIXRCigO0lqK6I1oM
3iYQzF3qm6DTDKaLmf8a1/rFa6tqAxWYSVRk32qrlCtXg1SO2vy5VDYIesQii1InYUafA0s0xfpj
0HT88tPIoJjQmTwihq3JHLVUNkg3EDPnTo76NXey53GKb4UJmrcz0LykdHWqebPRzmG5rJ4y9Ikr
11HEj38Ololw+EcW3C1al3wOtn2fxUmCpK1Yo4XeyT6jqLa8hGSBhl2yhpFHm1YSIQE+H5IX13mY
iUWHotj1q7MQxS32GzwrvUSxqwxGtg7+kol1quYk7PO6U2wVAZ+3/NAcwlY6v19Du8Mo2zrXtKuy
q9Ol4zrx2s92pBWH/fLV2dWdoUj3iF3lL6M2OWY15xucmJ0oBciB9jkgLSCZXedVvpeTurDeo+aP
A0E2BFmNCteNwonheth/fGdE1tAcDJF8FqONWMhi1Rw27rH3Uqh/PSXoxOev+OiRemEqUS0T6Nap
vol8YP5QJ2d6rm8taOF7Gt1v0WX3UAs4YwYaaLNeIrF7L0b/QZ8iUEKD8+GL9r02WQPMuI6ooOKv
EqD0ZK2R+NERToTuxIlivrJWHP6kUPJSfHWJQg+fPoSi2MuOWyHKtZ8xVUfZDOccfD+3ALYIk1BK
ckxWgjQhZMtNuhwgK0QDIQWyA6LUjQ9Rpb+WvX5VvUJZX23KJNyNjmBJpv10Tc28e/LzVdbar5Nm
nnKlr6PQy9lrV0x4TcIjI3BmnDhMxQlT0tApJCWXJWNeL8Rb7XwEA2dX7djfZuH+BikCi6pn1+qY
rEusIb6KFsGQA/aE3DjAWxHrk2IE+8DFGxaMjkbbgfQkD0TCfDZetU+lnN1zgqB1uziEikWKoctD
4bgXJEwH2s73qE6+kVLc2aJ3l2OFSr1zGTOVIn1raNWQ90CO6Fjoa9BaFqJByxbGbrNOYHJvXBO5
ihHMUH4xp/KRLDJa8oNgVfvHEWyf0imfA8s9a+vzaJkuhWbaWb9elQ+PWToEx7QE+o71Xwfp5xz8
MZnWpuafgYKgKm9E9ZjVOPbz3E7W1RyPWuq9JOhFP+lZcoRkcJWgrOoRyb5dv2dhSL2JgCUiU6VA
58P2sH3i9caFhTxVdxLBLhMbvtHgtE1ThaU+tp89z9iEImpPTP5OdVM9MbMfl9hJmHog5QPw5aRb
zRvN50qxbTBK+dKl4lB6/n0s6g9SLdZmFsAgVj8kB3w4BmInIj0PtpsNS9Pu2Rqif2uzE/rvCLR+
vgki3jEj3JNK9GxbyJm76dmW7iMKFvyFkCQGi5VWKCr4iSOJmhrYtWUfl0D0wr0WD1h1bfEd1/Vz
kqH8sH1CF/TpnUDnLWqDDdUKS0Vhw6uJtlGOcCWvNfrJ9CGdgmKjtOhRzNs6jbKB8qzFAchiaqoF
LfrQtNu/NEn3f7YVf41JnGfDf+s2bB/Kom8K4t5MC2Pqv0x0M7c2zQ7c26L30JtS4gC2TdWvOWKx
7Dx14KUBXziTgO3/IO9MliM3siX6K+8HIIvAjG3OmWSSTM7kBkayWJiHwAx8/TuhHqSWWm3W6960
WZuqWGQSww2/7scZ0a8EMhAiiPezIf18cGRzHegLKNeXkqcvKgv/yfdclB/sUw+BvvDiMB22vr4Y
M31ZxvoCDY2FS7XlohWYGFZ8F/lp6ZhVGR/ORcgEizlmXkcp8b1Eon5gB3+cqmli7KDckzUPd2/w
o43dB8dTybqMjUfIbQ4FX+RI23DaRFHMkqThdBSSbixrHi20fr9YveQJpNQptcR3OJvZNUbtJw5O
JCga+dSb8ctE3TZih4iuoKBWm3gwkGVKMHr/+ZPXq4E/fPKuBeeJg6gW1KmI+NdP3skXPwA+LVZh
nYzbpBYEGG0Dgvw08zqz20viRVpIhEm4DCXwrzjeN/jxkIbss9Xg8S416dwadpKPmwbIJ+n3xt4I
rG031IeC7l5GwDNh5scojO5HbYuiLBL2BXYF3V686zAkWH7x3Hj1MZTpj4I9uauce3AieHixQjnF
id/pgabTm5AtcbGY489eD6cRU2rN0bGcOsHSMMB+okfZRA+1aRd019ksUVltPfQ6evxNqavshqja
m507sW7Cex+1Y7D+9TP935U9PFvgRuGe/Osw+7HNv/+v+vl/L7rv8ve7pX/+3X8KH8LlaanXSy76
xu9D7fIXcGOsnAIqIS3fwmr0m/AhfvFYbJi+YxGQYILiMv7Hckn8guxB8MAHRRxI/En/jfABC/lP
NwTVkj6VP4xpvit0G/rvl0uqVibrgBAtMTefQENeRYOzFc5mMX869kb2J7xjwGg5WU6EHpKXCr98
Li9Nuo3mlwhmeS6IoR88mBaxQUsA7K2pfmtoURJgSXdy3NvLLdWAR8dY1qN540msauajTeVc2x44
uJ6W8aqLTrl6jcT7SDDaAdwQ9+DYcXgAwWmKbcrVO9Bqrpp12LBwsq6dtN0oiqSq9CGAIdNsk9S5
EsraNe2VRfBmanaOedH9PWC0jkk5saXCgeu++YN1o4+WqfyOOl4cdPVGX6kzwlx2TrPpbVu/okhh
uenCfsc299b3wuuqSlFZyDnbIVp+j28JkwzOTg47pnnb1ZA7En785jF3OQJjnxLmvAM1t18cKtSo
tgh2lTMcqvGHEK9Mi4O/BfQTYE9IDjL8xNiq6eNbPz3N6i41XiKChH6Ig3U66JdSQidelcxX/WQx
TBvIxzGdGGK7iO/IBAtAnmHUvl/jlU6BVlJXMY9XbYcboSbtXU7BJl2QlAdmyWYj0wDvS3uUuvCR
KjOgMbhOh9rBr2G1p8HNJZkN9OaWI0j5M8kXjHXB8DXkpb2qo/ohgAEPrL8gMhHifiWvwS9yvDGk
umEHwyg5rIOyuVN+wCCqFFiC+Z7yjrWjdOsGDrbBp448LH60JvkkS33mIOIcbYSGfRCjZxjhRs7u
pbeKdxW6YIjzNb2Z3xJSWqv6bS0a+AQ06wk53jujETAqe9cLPU6EELbMOrQXJighoat98Mt1Dvur
j0fcZLQ+FBJayaM3LdvZeo7xRVHjm4/PfhLeMyCvqR9dzcMjpMstpYCeheYPupZAx0BuvJl/DWZg
MuvN5mWs/D1i28+09x8pJqYoW6qrXryaQMuasn1wC0NtgMi/whldEwu9puTtaEzggXJ7b/bWyu6f
Js+lQLC+qjxYL6KgRRqnwhhFcjWw+PeW5N0Iwq9OB6djlr7F4L61HQV5g1Q6Tvgw8aUnLhRGVNf8
mfe46dz2fpbf+QCHbwKWI5bgGa0CU0XNVFzTheK58z6tnUsQwkrgngBRnDXXGdic1DeubITxoaPp
O5ufW+6ewaguQ5cQUcBKvgkotXCdS9G2u5QWcsVwBbJxJxHqp+GQ2evQwFobX8nJI8M0U0NXH1nD
UTXoXvnjazn7D8p/bpb0pIhG+8ZJ1l8L2AsTVFo8iU2dBYy4L077hYNuZWjQzHCRzX0WYNGCoK6e
XPeWS0gEC/ojTeM4W9zjxNEdYnPCes0H5JME24D0RAO8d8zWcWHeNxYEc6QuBwpDd0z8zy64Y51A
CCjHTkJPQrw3w1uZPWbWS9zc1vlLnP+Y/Jd5Igs7zocW2Kexm4zo1NlkET0Y2grpF9VFveGBfpP2
eIeVHreNsfM8dZjJoMaQy2R29CN+sqZfT+XPfKRh76ay4w8F44cgfnKaKuajBK+gcYnNtwzlLcfg
PLXYr+aQ4KVFl+F73D346s23Yr095jD3rLjLbHTXSk4ryOAbF96FX7+CvoPcRC6n39iLvI764LuP
o7vB3ZftV5extJp4sFAwSgaklPOmEpJ21cB/W6bkqiSJAKT3yVXPEiZYWpMOSW4Hx35YnIVUJEnB
djy2/mVMnlPyJoL9Z9fOmxGP+FLt/AF/dBmeVRjdxo5mKPtXOYQEii0Gut7xc3H7WAAu+FZVePCQ
1qhb9OW47mqeJbR0vGzLNHwVdKZWeXIXAegoAm4+Oh2CEcH8qg4/8uHAOgIxVGGx7Vt+oYvVbUNg
mxvQZoSuSHhI+RyXj5DheX1MO5PMszC7SzT7dyydztkIipwNvFduc/XuQzkY1fUyRriXop8UzyGk
jOW7F6QXNlStdgsZdyFWU4wRJUnf6sqpZ8Trb7OMSbdcZvOtnTEmGPIOSLI0j2NenOMJpxEsqgca
60xDHkY7vbZU+BQjhE6tv0q6rU31qxlmvNa2hfc2OOV5GSQcI0oRR36cdaK42LGtf+I+ce+GOT+2
hn2opuXKzLv11D4lKCPQ5dF1RGMgfVdkIa0hOESOjbluZJFskq4O23tou1ctRlY/+y7CxxBVTYng
7n98/GO4l/9x63X4KOp/s+/69W/9fexjfjMDDni6uVt6DtjZ32BG8peAWgoOgPwB6VnQYH+b+ygR
95n4OHs7bkD1BdPab3OfR9cFbRc0hbv89//OVPQnCgQUAyxKLvYTqb/gH+BeZexgtMha/HIYS+8m
W5KhquPyqkXz6Ib8w6URoV2mT4/l8dEzeMJnMEQ+G0wdK9uh4AtjB1GOUd2Nsf3dVsSETZduALO1
kCp6UnNlJ8kwN9lWxhqFTLXlq/SajZoagiIam7rApD6WjfbsJxQX5KV51Y8QVhsVP85lvFxCAgur
qhGHaGgVLTEzS2AIrXmDifB3w/u/OZDLP6//oJ3ZVIV4oCJc+Ue0U1OPrWX71owg7sOg9oaMMrAY
lynnW96RhSo3IhHnosejn7rFtCMe8qqE8fez1F8uIh09bv/rHpJLg/5CtpC/goK1cvA7r1dJhSSk
K37UlMq0B6dp53cnqtWmqko2UhY9WO5Yg1XtXCaVMaN315gYuDGwQ7/HlO8NPwxQ2ZvQd90LUra6
mRLAEKwKbpoWc38bVQTsaF/Y0Gt+EXSps2Jr74HX3VBBuKV09ZIOnPPzhNJb+9WujKPDKqNEmG8M
VhF+Wz+AtL5Aa7iPgmxLYGsN1H1HOONWwonrBg4GFWqPMJ8WCQQiskCjT7g/7SzYKXChqJPpC8ve
Q9lkj7VPBKCKUnc1+Bx5M142tVP+bS//lx+qa/751O/hg/FYL3P7BH869bdx1cse49aKzCWZpRiq
65xo2LE6wXZbDU7/7OBVb2mgb5CDMzqBADiu+sVguOoEa8jYr3ZRWV1Zi3lIsuWpym22CFiNfK99
qygLbfmiB9utzj2pypwvZIXTfWsMpxCWlj2lxzDknTIHD07kHj3f/Zo7/GRpfuAVmqwJYiCHz1hy
A2jAz6EDxajtq+Iw9sCyIH9gmGFdFKwHHxSG1R9ZRTqHZcGB3LnZTw5Vq/Hej16tcEtB9jt7ES6P
MCv3Zpkdeif5LKbsKWxabaSoEGCtIIdWj8HuEDWE9Wend4iUzZwDwmvIoddO270ZcmRHk2xC0D/4
+a7NCcknqo+gv044Ae+gwk6MeeG+7srXxXEQPgpiw/2pFQnKf3XIcuJoFVqd1VyHEmcsVODqht16
t4tddjY1x4ymq9a55R7MqdtazO7r2UsLyK8dOPZ2IhqC/ZAX7KtMSPFbxl0x0yhSdLeG6LaQOpsN
/iAct5RC6PRJzQ2+joKoAM/mRVeGNO98YPlctbm6TD30Y7/DMEbmBPsNWNm+LJ/9sbE39Hvk55Kd
1l1Inxx4gqljYxgRbG8DcVcpQCArp3IZvSOTe06ceyJhK1cs1raMAucYDj3p/17UZ6b3dz+cD3Er
XjJzZmsBGVjayaYe59e4tx+VjoBGSYVCv5DmqIbuscSzxBGywm8+iGQ+xYbt3ooZg09TQjEaGo9d
aGVs5qn6UGa0HQKPfcLS07M79PS384gWuS0OgoJGbh/2tbN79jxKo2O8UKZ/yefsR7WQGktsOiJy
i4stm0lYItd1R6rFGvIpWBHykmGHiqMvCTwRReM2ydSTkfWnqitvbbt+nNqRpWjyCaH0YRkZSZMi
t3XBK1QuYRSHfiTn4Kf1sQiXi98F5yR2IMhpt05s4bwuMPBgeYSMxuMVcjjsbIBTCNTWeXLs+0X7
fxKMQL12BJkjW4HYMM4OXqFJm4ZibR+iiPwtAqIVpi7IGwOb0mSv8wELgMM87+JBohITtBqupNgy
noiZUlU02cZa4lwCMIgOXDgLs1p2MXA3GZl1h1ywXEWU6OCAA6ge7XpthjJS+L2QQ+EwJKQnXKV3
p7LeUiyGi2qEwFVxZdmOt2YJuOp9ewLGWy3s63p7o5AfWQuHHLT84mZMak3rLr/Kkc6fFk+XUaEh
gJ18jFvOqpktdZIRC1g8li++4aOaeAZ7qQLtllPmvIM/5HEYUS+zxtZG81ztKtObN1PKhnAqmmvf
43JJcZjBhH0xKebeLpRB0esel2wp1X4uUVv7BjYdbY4rRYbTbtqnnjOKgzZEwhTOglOwIbTEhXn1
UleAiWPy8wGeChV4LNLIRfMg23WMkbU5dq8+NC18Y0A87X47gZSYZqru/eRkxz1DwAclazHqBCj1
ojzbXmDpBGr3PSTBcwBqNm07ciT434uUZfZU94Qwfd7/qkHZzNzU2brK572f8V6DBECLh7NgiGvS
51ClF6DizBFNeIboaQP+sB4YZ+4mw0+v0zhgsTQa9s4qWuiwWXbsYtfmppNn9oPnZeZ0WXmTdXKW
3IfUQh+xmV7ssXmroxl2vPKfKjCi1KDvKje67cLpElEGDNcgBDiUymhtNmVFeGeCpDvd56LZs8vy
dwOZyFBY7+AXzW0R8Dtgj0NNHTn2A2uMNvQu7JNrzqbmk1jwuKK23JeZELsh5eMrK2PYZy21FUkf
+9d+JOUrizK55TwTUGcIpCCzQ2g9MQyCKNERREAYG8RunIuNRYYoSFCNQnu7AEAt4vzGA4jKyy3G
4IIM5WpaajIDM0v8H73mqCbtUB3xyYANALI6K0FRiA/nYtAE1kyzWEklLgfsJ2RNe6I2o2a2poIA
eIh20IBzbUENrBSA16kkBZx4z4UkuBG5y3igSKkHxQ0Xtp4JnMZqbNZtMm58z1h2SpLk8vrqzXEj
KEdVB3pSUgpDQhNw4+i+15qZb3qiuWG6GQ8mQP3aKhJCHzD2VVhmx9aZrgc9V9b5qLY8IDK9K8fP
oOdPc5FnInL8i06CRsaQ2jOsOnpqJQQ4IyUxybZh234OBsoQh+gcn+r06ejBlwG4ZdKEvQWaS8Je
9O1sfkyD6lzY4R1S7o4Yo4/uye9GQcQrKBfo5/k6IPFXUzoQ6fYBDmcrlwadQfcSxIWFjyjLD5bu
LCDOfgp0i8HcLXem7jUQuuEgIVU3ufUpJg+HjtGdjWK2b12fXoSopjySKEKN0srV1JITPIKqmR9K
XazAEbHDWUKOML0SFv0LeV/tSrSNWDczpLqjwdJtDYFLzMZeWnWugYfvBzuxjsFsvNuxLV8X2h4i
tsGEs9vvao63arE1fsZ5lhkWJiGBG4pZAG3kSab5C8lHlMzhhpfod+G6nM+jGy6Z68id7mK2G8iI
ANKtUfCsL34dqxc5W4AfaVjLwoXO4coF6TyLp1CbzowwDMFRmC+NBT6RZ++xaMgeOzaDWT+U55Y4
dWbRQEGZaryL/HzaFaik2yLJU1Ck8ECygEiyXvl7cXsnXfZRzWxfSaw7xQLTglIEEGgj0nTuAH8Y
QuLlo93fTotN1aODGpsKUhCeenOhFUZWdzHdZu2NwcGOuYSZ2lfzTPwJirhFrdzsdOR2i3u/ch4N
K7srQkr9yAYIzKgxnPLUqClEU8VPoENfnUPRT5vuinj8mEyqLok6ssbd5OP8NiZq3oZM4+ZINYNH
gerZTUeYCF5+l+sJvh8xrId6qp8Z79EHGQX1xB/q2R/MyBYra7pyK50x1ieEiCt+7RmyugoTqpIY
CO/6up8/Gs8s8Be5kU8UdAzOkY0v+n9cDGDBwmlbnxf/ehm0/aBc/D75kZSR3gm9VU32J3ngt6/z
N4VA/CI5btJ5qfna5q+5nn86YukTF5zvhZAAkbnWAo4z/3DE2r9Iz2UxhEmVLI3Qm+V/CATWL6xw
9H9ypfSl+9/Rjtkz/fEkyj9A2bhvevjuPEL3/3oSFXNrVmmJ0y9klEW1m/3vIXMCnKdqcI6RLoIy
oYMfZQaSturEeGIfEj2IUuWfJX0S9PglbXlYypSjgZ14mAv9sBiOcRNg1kEX6Rg2Ym/ZN9I+zrSq
FIOyN7Zw8FoYXd9VmxCn24n3anFV22W+Jx1XcWdV82Vqw73nhfvCcDZRFzFO9htsjDuDpzM1Dy30
N9XF93CkK94bEyXK1XEuif1g0+kubcvPg/v+xLfL1jV9Fu2SAfEUR7vvD32ZQZGZyntjaG65Zd8D
leFsNd+m2nAubhK+LyqoKet0HljQAznhyZ5i6aEoLEii8+w6N7FJhFTXsLg0Y4EOYdSHPimvyMs8
GTZTpKgSf2P2wbRzDZ5JgRe5hDcRK6d5eg2b6rUySpYWXROSPheI3LF/qgso0NakQD5iVI2gjGZZ
QxdAU1vstnJjy94q2Ey1WgvLuG49qtuZjnY8F+lqwD7RZtusWG4jBzOwr/zwrrI99hHUAMGjgT9R
K2vlTsnJd+a7gDG4FSQH/Dh8aYZyeOCQigQUOpOk6Dh5jRqq7oyKqppafJaWZW5Kv/oEj7ncupyV
opXZZTkfKQYHleQfyu18kL6gYnMwkBBtV/PibqOOlIuEFbdRLTSg2LzmNLOxXU5pQarSFQTox6SX
a4vIAjJuwSm56bezMo70qzqn3p64I5eHVvEXkgRWJC7XtaHDncXoUeQzNPJUqiYmLWMagA/iW6J1
2KIW95S61GpTgoCQsvQgD5ci2deG2hcqw1OcuWv8tGKTU5KdC/jJxcdMKea2dnRUKgXDks/GN9zB
4TS6JH0toAhYVr9Kfjuo4gu9wdWxmkoY4PONU6XP7DdufSe9XbBqrT0x8ouW1oMN0sGbY/YrauuI
5BafyFVFhboVudd0K5PSiX82bfNOH8wb6RsC9Ivh7AOJduPG7Gm94T5o62ceIveDhYuKmwRkUp2f
4bpQ0iYYU400uKtzTLbAwrmMcGsOpvve1D1BoL4lMRaZrL/sZD2l+DFnKZhukcizDO2PnofUtT+x
wDyA+tu4odSvzBQvKJBKofNpdUB635/ZRaXwk3ohYM0UJK0JlpBHJ/jbq5HIt+nApxRIPEakqKnJ
zRFYCP/X7Sxz1yjr7HajWvddmjMy1ftQ+j8iiU9IjBm3dWEHELliD6gki8DEc18bY3pOkPD5+7dG
7l7YttGvKE+ZoSCcmS7Fr5zN0VKNTWIq+mR4jrB5SF6HWmK+DQAkOJRXcBgi++vkVLUi5LwtMX2L
edbQmJMGb2XhEWCbiSfhudzHvnzrNWSwlG69F3P0IFP1QfiQs3kcvrMXvIqUdY+ECB3R9hrQJQmm
8RlOdHIriF/GJdQNs5THJjCOxhg9pB7LF8NLOcI4RbRdbEAvhsneN5krAvS2/QwwArnFJvS4R/3v
xCkNRkmWxZx+mNkw7ioKu2+aApeO0VTT2jEgEIhGvE6K2aMssJF6rRPsuuoVhyMY6YBZTroe4ZlB
zN2V15fhM28gdaYtM+ex0BS0/A3FNu9Hp9hkSQfAOxX4Q9cEPomqTTCYXiTBoPTApeNXdwFtpOnt
nHem/Te97n/XUCKFKQLXZAXw10PE4bv5/lk1uKf+UHD321/++26BIjuWBHhUbFuQ7RAu+4N/9iRQ
cqCLEoTjmrbFKPDb5MBfC5hRfdrxhCQ2y3fzj8lB/oIHhMo8XyA8Ssv0/ytLiftntZXJhYvUwr3I
sOLpyeJ3Gjanfwx7k0EChCZ5zv0S9+FSbwIYLhBFcJemxm3iGBkXO08KM064VhPrkqQTT37t90ww
fvoqfRMYQTPtCBVJ97Y46UAeM+ctqI2jg7aQdolWNwa5pU7huva910kCg0thcR4pmv854UTlhQcA
BDuIPTyVOFURiF+tWdxTrPMIQokjGJ5WtJNsXUwDqz5Vr/soJuKJ+7VszGBV8h3LZTgv+GNzI/6p
tGE2yuoj0f77RfQQ2+IvB2et1BZbeAdU/WrbLXI8nbjUvrrqayliHNy4czPiudzsMOAw7joYeH0t
i1RYejMPbIb2+LbBjAPWOhNPvkuH+Wdk4AamwPVHn+ZnnyoVVLTuB68aLAMRZ6NMK6tpysqw1g7j
CauxraOYgPio7CQoY2JJjkv5MhU1H9sE9IA/TWK4ZsV5Em5m7SZtaq5wNxdBdkxwOxeKAqUgfSxT
yOQ1T4YGW3SEP9qVMz3QtgvJNvWOk6HJFrGBBw1btZo4x0yVPV3XZvVuxtExDSnbSXk6gtDdVbDa
/ASaC4PVyhzyG6tNnNU0kul1s/QYt8kTXoBvvMnV2rYL3iX0ABPQOGAPxTw0v1EXXaIVd1sjD3Zm
iPxTSf/Ntqn3Ju6pyVbPSctVlzlNSmEMyqxX0s8etXqUINgIGgn+jWSFyodAlV3GNxfmEART12OX
PC4wN/wGaPD8EfrRMQg1/JqjPojNCho0c5ifyrtsqvq1vRiUbLCN3RgmfnSrsy4ZwFu2HuUPMXPa
7vroCzHL2CI4vNrUmffL9ISUvE0Gf0OFqK4ZHS8+T+lYzsfWKw6qjM9z5KSYmUkLRGJ6qclVIRqK
K/RCf822hM4IpbDvp4pg+qRucJXcURxMB4c51IRRcrHv6wHfJMEefh69c1+mvQqgAuWCqxgfKpBj
cXYK4xSMyauqyUkIMMhiJHEi8hrMECueWDNQ6dcttkmPGYimsZdaCXvfu2iXCH+vnlWIbe1Vau93
tEN0VfjRewqtaNIQO5q9kGLzflfPyT0F3ddVWfwwqwQsflV9TVLPxi6Jrbquv9hNr9g93NUy3DII
mluCWw5kMhfQWccdV35MlcLHUb2ZUeHs+4E4mm4KjyfU0yhP32rlPdCc9AoNd8NLb5XkPSTVch+b
40E25a1KDf5dh4+uzUwIxAbmJakb0Gm/nBzr0crGj7nJLrS6D0gNPIDyun7rc+PRjUERdbg7RvBs
5FtL7MmC0z2LgUVEzxMAPBwhSD+JeQJRCY/Ky1+9wnkpo+ZWGvF1kHc3cedddaoCRsXTrm78ZNN7
wVfhUAycgxNbEO7Ig7DkgE9U1KW1LnrjIRunjwYiZ1mgLye1uQ8T5H7Xp7PKjauZzAN1e1k7nMmB
UUTe1/mmg5kcJ+2rHAJKISjswHw9uWmt/01KOTHFeDTE66NEEJOoWRbOWIyhtyO/LTQK5yOqbbEu
/OnRHc01TuqbCMvc2EsLnYxC8oZnghhC7xv/dbvuPR548E+57htUy9h4iyM0WqhrNBEr3FmBVRyG
bvwqqS/hC19IEO9DLnJgOwNL3jC2do7Sg6YpSny0xkfD832SRJ4cTDgjXrp6weMfTtsUoi4AUvgv
U3A3kslY6uQeTsarH5rUWJbGAYHkZegBvJv2tHZTXD7utIaVOK6i2KD6rO4fxji8i5wOnZyGaFCG
fP3OZb2XtYW7iWxrM8/JMWiBqucK53JzlSQAwvCErMfe+UkmbxPVzPlqNIrP1nfLlwWH+lU24YqR
SyCPE33TsCS7+WgsACEOXWMte27SZt8NWQi3aOKJ4VsXE1ZjFBVbNQXPMe03Zqcbivt409flc+pb
JMSjCirV9GViwy7ldEGk9M+9V5ItqYaTvWDRdlXfr3Pi/24meFbY7ZqaCYJNJmeZtDiUlMExxqqT
NGpS1pCLwly8wFXb9h2+40yMa1EDdoBKCOuX3h/RTwfbo/lGOrm/6Tjt3nrc7UcDQ2ZWaeRkPm0L
p6M7MiSAabMd46zPfoV7iAcwT5+ycdEj3YfAm1lsVfUhnBS7JGO57sup3ttRBR2/aL/GEk8ho+Nz
Fhsmycn52zaBEdituPeNVmyG3phgCWH+5qG2GYN+OFplTlLWyd6WQnRX7P0+zSKDA+35VPMk0U3l
GjVJWonVxjWntWx8XczEh8cs8WNs8bG7wOA2cU0PS5c2d67dXuUdgE6Q3MiYGCArqOKozWdPoi5m
1TVho11lJQTkzJ/1Mr4Ii/C/P9qf82S/kC8lOCXwrQ1LumpNNqdijM9M3PexHb4ME+sz6tBxXy9G
v1IT7LN5ATPMjUh7plynzsJSCJ4efq3sswPgyy8R35znUI8mr/NF3qgxf7ImcMImEmbkwMBfTg6g
tKBROz+RN1Udn0aFnTGoKnebRP0dToW3qoISuPQSZud0kyrrONc8MVAtsQHsgx4RBzwKj9zIvmuN
mn2kCTXJ6srxQ0SDIBnaE8Kd+aNmca7NDrkaANzoxs6prUzrBTCSCTo5BlTXZNRkAh1dTVH68bt5
99+YMP5NKkJoKYzEtyltl8Llf50bWw5ehUQiXg09EKpahNxF0m2BFCtekrO+y0x9v/mSZ5jQ92Cn
78ZB1uln7Q8llyrhIV86h7JGWZ5dtRtbXrGRm0IvttVjl3VfkOreo8zrN2Pn80MH9YMxE4YQYXUb
QZCm2g521Mgj+FeHWoXo7MjwpXKM12rs9mWGOdIYkEHg2uzLksVf7XGpORxenbIw1+zsLyze923o
MjRAuxuN9tXqnVcRel+Q1t+WXPwYZVidbV8Qy3bHFxSTd0whr/BB32U8vveR/ekN1p4d6bkM8uui
aj9JUYSr//xx23+qR0FdtByh21EsrUL+YUxXUwWtJAePITvnefEqHo36V0yM0mK8iOoXAC3OKeFK
IDPNJWFkZxCK+0hfLKJTYm3rC8jUl9JQURMoo5g9miQ5XLAXsZgjmT+tez9T8coSSXjdmMl1qdqZ
F/z8YbMrbJR3nXvi1piTF8tnbWUpbvno3hHGxQC4vmZ7Oa6rRRdLyfwq9Udw5tZtbBIFIjh1ZIiu
1wqwmplNP3/9dP7nz6DoxX99Bn2pmr+gOfz9EMrf/vshlMZ0x3N1qsGlJ5v/QSH/J9DBdQk26YiN
xa/b06Xu/5CvzV9sx5EcQrnLUYfF7+RrbHEuhAeB74kv7Fj/VVkfBrs/ytcScyRnZEmowRLij0CH
jB6FIYgHuapCsTHCcmvYuv/Z1ctgSthXHiHUlDBqnZfpenScuyYtPiudVzXVz5H46hx/Yqq8zXSq
NbDG+ziaqTazLnKcXp2g4TyriEXWRvko2umtidOQrZfxFfcjDn2dny11ktaiRolRV351hJHA35G3
zZDSUIjI4Cqdxm2JfJLUMe8NQUqc9qp6U1vmM/xeCsxCKMTJyD9MwHcxiCCIBcr8lO/M0dnkGPdZ
MF2rCi5l4s0BIYnU37Y6OZyxst+OIOuZdwls+O2T+DVnzPthHvwjI+RNXrkJnbnWSRBNJhfXrm3C
ymIcWd+G0dkqHfFZzNN7lZJqUGxdGRpq/xhBedg0OgFtBjn8Vx2Mpmyk8zhvJkSmHXcEKKtT1KnO
U5c6WR0TsRZ1f7aIXDMYpltS1J8tYezYVm+K1uPVQky79gqq4PqB0JV/kYVFgJZIt+H3TzJorykr
JpUwk/pudf67DqZvg0B4RTDcV9CCPJ0VtyvvGa71zg3bC2nECQxDeZ20Ea0uOmnuEDlv6rQ9uzqF
zqrwWhFLH5L4u4sII7T0K+w5h9zNCoTzvJztxT4ZLvyZVfUcvpW3odPr9AfQT0I7VwyAh2Ci1KLs
2fB2JmTKAt2ePNaLOYbGvdXEnPhHzT+LmHgC2e6IWb9WOYL14tv0O5MtyCNQq62Pc1JBk7TGO0Uk
NaNUIFvip5CdLL+i8dKnkbtfZPfQOP5zVVX7NE9x5tkafMXELmM0RI/SD5OAWe92zpZf8MxuHm1W
1brqvWXxmoTdOkvjYd91PZUJ+JuxFlJIV13sdnlYWmwgwh5fvKZ4XByu0cWoj7MNTlTZ/roSADRi
RIVTYrpQG60j3RcHAmyfZsrLFpjRNY6HrV8U91CwOCOVr+5C34Mdin5ftdMtr2RsZMawTZiZ6BHo
P4UD981lLU5VX4XkEpNahuVFKUSNytJDpmr2jsC+M9djA+Kh/gxCx9op2vfMkAsih1OXlx9pWDAD
GNfmHAXXTgFj3vGUt64cfHZN/mDUMJ/KpDxTrHAAecrLa4wm9h20LUuPqZFYN4pDx5k5A9579MuR
rWodUknBr1ZQRLSLI3DoVl78dCH7j+bAic3j5CMdCmSUBeweUGTunmXPfL7kwFZnVNoo614Nr/qc
DdD8Xvzh6KhJhepSOazfx1id4xpPp6uYmm3XgmQKi3sAdUlQpl11zJGrUfKdGXVyBzhDre10ARmb
F+uGquy+kLqAIGOV0s1nFZOI6D3nLgMMbYbzfTN27xMrNINI+RyBxcUNh5Vq3ermF5fu7WVBFOdj
uhAsemWHhEyFB3ZVpE6Avtb9sEL1qODaZU15NfrNFbsNDjG1t+8ysNp4ov6fvPNYjlvJtuiv3Og5
FPBm8HpQnqboRaMJgqYE7z2+vlcWSV063Za6OFDEmyhCIgWTSCTy7LMNUTIHbOLwMSPmo2b/M6sz
AKsMO0tfgH1+uVKSZlME/VUv+QuizB4iVTkspATHQVTvcRCcwc1bxjk+NrpOkD121k4CFQPYYxm0
3klajClYXHZi5vWswSwTA1Dqf6hhl0rf9hO9Shb4wAEeJjbZROOCtLpFAPslhmrRIx2iB9dK+25i
0JVRYbv0hUkLP9bOXVe1J71fnEQF+ko5EoCVNTXw0bLG+CCXpLMsoEjMrDxYgyEWM6mT173qIIKT
63Ci2/i9xUq7sexuv41lRiwiRhwWVnGSxnCq46BbmPQ0upJEiqrz74e0hp0jKTigWLPUoy5Nq+yu
Ufur2CeuMU8sSi+zuY3M5LtttTcFhc+EdJFwmkXmvIu8ACemfpz2fX9lWCVBYhEJga55qgZw7Brl
xjfsixjX1TJlhBKJnKCkWKcKFXTrBuQLRcnSjtpFnphz3uqFFoRUKhlyEpXIiCWtP801l8hSDjBw
O/Aq9aGQsm9lrzdTAKhlE8hnaMaDSVaJ9cirrguzOVEiVzviy3umhgO2veWeR/wXAiKBVyzSyLvI
PCLHIsrRMtq3YutihFya2d6hYqvr2DNJgSpwTSCAxZk2anqmS8UhxoIrzfPC48xSLiy2/rJPbmzm
HFu5Aj8WCAHA7bQj94s1NSlWJAkdBHDDkOXhTgPlfY52zecS6YfVLk7hZeNcF30PXGmsLEsFgU7U
W+Ji4olWITJ0sA3a902EXW6V7aMBlmdJaV3ptePNgTluAtia0xo4CN8AoEbwoVAgRT2QkQp01AEh
RVZBQCSgEi0YCDigTGWUVdxWYNOQSY+R6K0wLVv6QFOo9idd6cxwPbwugK461buJM2zecOqYJx1I
pSsT3pUEyU0H8KUN0a0NEJb68KMFMuZnWD1ngGUDkiPbbnG7ze+LxkTfZOs5nPHiXhFIm+5kD2FW
HmZAcEOGC2VlR4TiUlcDaYHU9ZZ3ZwnsznGp/DWzkucZwF5Tuv2kEFhf5vrXpk8MqeeKnpBDOw7A
vJiYZkYSr8ALVYDDHADRBkisiQ2jqb5G77AGYaing0JEaFt0SylCExAM1FVWnrNgQfa0wZFZ1nGf
xIWFIg0EQQbIpCt/1MnNMI0ExjkqLE+lwD0xYT3IBBIqjf0VESPVVCkqGd5xsSTem/C4YY/v92mW
0cMfWmtWArJ2TnGXUTJNBtJ5ZgnGLIbh3BGKClEIhJY8HVgMfnjcRNme4RcXUuPVM01gujIJisi0
xxOU2JhQ1H4y1Rr7ADYGLtXgwUbZLZMKpLhrnMVoA/NrrUmKVI/AMhlBcMhYjaBhFjXtBOABSwDP
9NV4KQUYDYVvHgp4GqWpQu5AcWmo5lITEHYXmzeKALVd0O1eqUhbBe7Wwb0lOYWjF6/KtmrnnaGu
Rh3NRKGEqAIt+Ro1+16cC9NLgaerSnjUC4Sd/ufXEsp5K7WEEucHfMhhVeWyCgWa/5kIfxQXoxTL
Lm994ZyCyPOw6IxDYheQEeKtYoddN2MEeEiyyJDAgkWL87XlRPux8GbpSvL9sq1hy//z2gv9tkxF
RL1tg03aSBGoVn5ehs2a0r9NXqrKPzzAj0qMysFS8Ci24AoZWxXSj0qMbShmB8geZMyL7ReFmP7F
IRQdm2LTMOAO6/QQn7uBOjWaoliOIetbbOC3CjG6fm8Lsfe3/rIbmHs2dnSIb6CS5leWhJDSYMEf
Fag5vge0KtEJdxziHTL7ayiSOHovuC1HfMRqxHCTui4hG6oItfWsPk7sgWgEyZ9jp3ASRxaNCon4
AQgrcEXBR6epU827AN6gQx8OkiMUvJJM4lijyUDiRmmKhnlGpRCn7YL9Pr1Bcy/ozOO8VU7gsa9r
SA1L16KogF3jYt4ayUSC2dJE6RN3lmGrZOIPa/m864JynwQawukqwdvKRUDSdPuhJS3cDF9Vt1u1
trRnsQexOnmRAyYfeV50meUDxu8KzIyGT2orSSs4QShAJNSpXJ0KgqwE3VfZKWeWzR5FIbrR8YND
8MYNYR378E3WOgAZtR75ZBCcSYc5SxGBkxO5LuIrebhQMH/ONCIMD1mn5myMl1hBnDUS1mPurG5P
q7JYxT52buhA65YO3EijYlSSo4ilFQUjBjVsoeTTiPELWQhjNV/YBu5KtkZ6zYOefU3igPRa+bLF
yGLs9otAOu7sw442g9R0kDmWwpQJubwVj0stOxryb45JcEl1EsIiDr2lPHpHMWm1TnajJTdhnxH9
wz6ysacCLcVQZKJbl3gFQdWAHENn8FQmMRRCUTgsGp2vQW7u19pGcZGQKhs7xa4rWkijQeK0dtiF
2ryRTsRolqGxF4faRjWirzS2pklhTOnfHJZOtzAGAlSg70dmfy9lePB0NqHmRnBeR9KqkNuDotLh
ica4L6MJkJDn8jbN3JhML/qgU6MhOs6NU5T/MOVIcR9PTLNYepZ7BE1+I420B10SB7w4MqbxoC5j
tg89EeA5OLci8YHT8ZuFOodvb4T/oxKfw6wGd8W4URrw02JR57OgQf9aVmizsEXc6hxilf+aSOcw
6+BprLE6SBqXIbeXdqBeVB7KXHO4rnGiRKSvTcOgnOfCuZigIJ/YeLynLIkKvTf4JqSnA8G4voJj
CIXIQWFAPhbmONGi1NaeqswGAnLb6rsiP/h5eKIPfOawoesQqGn+sQOd1CZVzxoGXF+OMrvCiOAs
jLNV02BOmRTLdiym7LaXvcpDt3FrJSXew/8Bp7n2Pmogb137NdeZRDiD6eQcQ08JVr5TzAz+ubQf
otLfk3nPfFlZuNJRmAsfn+xUNYIpKh/XQYGun5jyMYZE7IZa88yrmCYXJA99TZphr3C6aV7X+4mz
1EosnYZqNhKwKXVrD0khDjyzVCVDIyBclfhBjHuvurC/VJuAdzI6g9yCFsjWZ3EVEv4YY2AerRIc
o2VLO4ksdrrtgRBDj/4Kw+KJG5ErDpfL1i6VlFoLZL2U9BngQygBmRhswexI4lOvKzd54zONpANF
PqlBpyn8l0qv7+X+ccWOTOUuUTFRCV+w9z83TVfDCfJYolcVQzTCxoA+f1oQZlFclggkMOjxumnX
NfjU+FqOwjmGtrPWCXUa7wY/XI4p+Whhhi+cTqaFpx7WnfY9wF/Ists9rAGOYwcaZXhrEy6Nrxay
Klm+g055iTffuo5YTlFTh3Ojvoh1VmY16E69AB6VNJzk1MZq0+9H3RUx7RPx15S8YDKcdJ+sjDtv
nLfk0aI/h2WtHmbKIUVI5hPOQMAWPpBtP62TO+AGCGeGcubnCEy7o0CZB+o1YsM6owhlGWJHFOXn
SkEiDWFfPsxnuqO8l7OO/UrcuBPa0DO72U8wS4B/gYijJJSTttxRAKvUn5kQ372VLB11KfFh/tEQ
eBF5Q4R3SXF9H+tgbxKKFFqUTnNA+bksSlKahhY/KFSAGwdZGg/Yn9GqnvZ0+Aj38+5yRfqOBuPU
6YwzJ5DO+K4eDzIeVF24FOycienR2DXLnhR68vbKqiH3iVj6uCUaBFkBnhC0zUUcM0/9qIr7CwI+
T2HqqNMYGEgqyMRBsUS0VDQuuygsUDJpD1gYrX2b3l3VW19dfIjgiWkQ05MC5wyoWdDeKWdV6HG9
nbM4CHuGultZoQu3MAuwUAZOKUU6sJuEF6Co2grKkLWMGvdrxoSYKVTB42Bd9nLwoApHSFFTlTlU
9Ty5if14rdrZvomwivijAnaOP1yPg3JdI/7qtPG8G6pLFezGMvh0sw1fwbH2iPEg9KpTsYcLMTg3
vsVufVG5OG1kNeyFAaB0gkxt5gzBcVcLCYmDtXeXJPudBfENaIaM39E/t5FPQgdcdLAkwzqFvUFo
9SQPPINYq+JYdfV+bhJvhEKHACNT85ENOURTmvejjt981YzXg+GedB0JMrKG0rAskdERZ5O48k0u
yB2xcGiMoIyyTzhuDOdbxtzJY+1e4mPLZDBqLAgK8mx7HiVQCO20HvVBJmnyXhrK506eP5hY0udR
unCHxiVKKDlHL4MDgo/YINxXUxcfev1QkUNeDeMkG80zSS++kR5w2CSOB02BKNRcPdIBO43YP6tH
1l3L9HAJk7tzqsF9J7K+R4O2yjW6LIWEEYZhaT0IB6CMHsxTKl6i8HIqIf1CUjHSSKMcigIKThkS
2Kwt0nPFCsZ5ZqbQFl1sCQaTW6O/6oMbDrprzvq+3TMoMUcjKAihw9yvKm2uP92vJeO28PEKtpwS
OXaIk6mD98pEEbIV2BerujDJvindW8UZ60USwLNMJWfcozeABWIRl0dq4a+sIT/Lg6JdoL08GHDn
n8kmuxCbMIRQZP2M48JytUuDcgvPM/cMM8PDbujIasCJqJTR6SYxLU9TRKhWdnyqt8BRLITotIz2
wBaBq7WFPwaO6LTNbe+uq9KjlnRWSBHH1P3qsi6TpWf37MrkG1tPTkNyXaVA97CgJznGEY/FbmYO
GbAYih8ZRXFu5wNGcQSOxYZ9nNXoyCpJlhFeSXgtk2lkJveB0cB/J7rLRDmlNoQSEyiPnA12gkwM
rUcerUcubTEO3+FQdPPWdNayCnhuRAV+Pxpxth1e+CvfKphVloi77UXwrVcqFUur6/O51OXxIDXY
Aw6+Uc4SuTzuAj3E20/EKOVE6nLL9dxQgwUepOW66Pj26gVbY8lDLmuSQGsXeT9retYgzAqcheIk
J0RRrPMBxSzhNUdYsrZ75pAhhq7ZFQ12GM6cEv8K2+uUS2jL6r4WxnzgFbAAQiqISld1ELfOua+C
Fskf7gKMXHZF/GC0p0nucMj3zT5qTYNFyjChbDsItxoMpCo5XMYViFxMBNyEOsqeBYMD6TbdIOLE
SnKA2pdfq6nz3SvYstWJm5wSKN0CTsL4NrCLKysQF6kvb7BSjlZSArrShw81zlZTN5Duc1dGSGQ2
+7kZYZff4FkiFUcgkIf1iPWs5hcL4j95GWIcICsnXEgqGsnSYY/rSDZezj2bPK/BvCQKxzMSD3CP
J9ZwKtfJwTgOa7uXz4hepnZnw4h3f3prSVgX2OSJTO0cRWoV4nJNHxZEIsuXPA129ErZg+yhyA+b
9Za1ofdQt6JsFoS4AKGjP8dG5zIeNNhHcYVjDrEiZoF8Pa+E+T1bmWXdpQCxPAqXqNbSTOUpdLor
3eNDNPTsc60WwUJwWg/KN0MqaU+xIW50/yyxEhhEKXxejxi7oWD3Ankm0KQZfAh/znNiYxxkqI8C
dltNDxFKh+tPJJqDsNDpwidbvp27reIA99RDpbBZw9D96YAzMn5e/YV82aAeTptNOZxtqiau//mn
P6zhxYFOsiCtL7J3h/ilX3r2mP/4QE85RBdDTg7R7QOBjLOgqsvgvoZ8u9le897D//1LBxmAqPsK
ENhe1faG/vEg8S033jxweIP+qU31D5EXzi2k+n/9FWd4ET7+VMZzRFMMS4AE9GV1uMEvMZmPL/95
KB+NFv733/n5HbwcBVrMFi4lvz0K3Offg6B+Ae3AIEPc7ZshkJQvOoombPNEZpBNFswjCPNiTv1s
KvzzU/6VYfr5ELyaCarOdu5/GAMO8mIQ6M2bDnsXgxVXWPuByLyYCoyDJsbalvEdNDCD5scM+p80
DNjiKG8deH7/hVC/QHJXDRJVHBijhrjPF8Pw+EaQRwEuB+sdq54/bhgkC48gS4OQ/1Z++PuDgdkk
ZAiEI+YT4PdqMCQZyaGDdEBm2qj8aQgY7w+bFVyXzkT/7QXi9cuhQjNRaURoIKIYLb1eJiVEEpRl
OHIie2TWsJz+ecMgVBU7DwM6UsfA/Qng+P0osEJsPxeygccoCgShMPnDJgM+qwby1J3HAaMuWiw2
FqsmpKTXL4X2BeGvbKLdAVZ3+GQ+rkl/0kqpcNG7fzC0L4ptKCYkQGFYtmVlvVgpWRxUweLShapH
UYC37cf59ycNBFwzbfdPhvwFSTVeuCrhRZqw5n49IXR0Unw7EVDp27XhSRb+J40D6i56mbvvJo0v
Krepskwq6iMb7+XHk3USVbwBe9R2dEcslX/e11NzFPlx3Xqzf/2tXTXbBIWJgFJfg9DI/H89I1DO
kRtF743fMNlOPX2gfmlG/MIv/ahBpn4QP2xLlGBTvahz/usvPG9d3x/gRQHyuPV+9auiZnk8+GOd
Iv7+79clzHbL+OKnz1vI7ame/v/TPb4/+6uTPd/Y8z+ugk15W9772GqKuu7pSh/jXNebstqQifOw
eVk8PG+VdLHp//ua3lddP3YP/3SOZbm5JdPsr/Vteu9v482eDyrKtb/PxfTa+VxXHP+vdfCAjdtD
9Xy8l6eBm/38zx8Xkr90Szgmbv7iFH9dbW7L5+O9Os2njNz2bj40wHgeNU1lUd151A6z9CFLnw/0
+j54RXc+/mTzgYfHj1sQ+6+dT3GeNbX/sVnI84lUEV+w84kmzX2ENQmUguqttlj0+T/hDNPb5K4M
HrzN+xOYoqbf+RamvIVvr93kW/wJh55tyrvh3cHxV/mMaYSou/7+oaibj+tnnOCQFer23dUr2Nh9
xjp4uAl+pgewNfMzlqXDIL3P4vSDO9jua3eeOEdZ+bOXTH2soz7nFDgCQ299dxucQ2Uv9gnnqOuf
vMKqBsLzCac47j+cqE+I1M53cO6TV/x+fB5L+t2PXt9+//DyNRjcn/GeXd2WnXDoersI4d78Kd/N
yebh4+t3qEc+4enOMnZN9fOBxPfyaXu889DPq2rTvznwpwz5XLhqnTcfHf4z1v0D7vztZX/Oq1p+
z+Lo5aGf4Mydh/oqiOt3MxDQTgisdj74tBHf8NvnI4kpwqEF5LHzoc+zRGzaXw03PQ/9M7Ye5w0v
/pvhfmyn7H7ZDcndw/P9bweEI3/GRW93ye+nNmNi05bZ+cKnWYnwMo6fD/V46Vt8ZOdj/0Li87Zm
26FUWfExfT/NwWI/Yy5uNwRM9U0pCq6XI/QDOdl5jH4hHGrXMZpt2tflzw88dOer3667v+5muOud
QDSq6uzVXH30SnQ+Y1dz1tRvn7M4ugUf+vnZ7zBTxYOuhOXj+X0Qx6+WCnEWrNg/Y7X4FWeoXZ/C
Lyl/dz3Jr/La//k8H0FKP9qX05/gZP/1F8C6xIHvY+CRf/8HAAD//w==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95249</xdr:colOff>
      <xdr:row>1</xdr:row>
      <xdr:rowOff>28574</xdr:rowOff>
    </xdr:from>
    <xdr:to>
      <xdr:col>18</xdr:col>
      <xdr:colOff>514350</xdr:colOff>
      <xdr:row>49</xdr:row>
      <xdr:rowOff>171450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0D0A7E-C2E1-4022-8ED0-2E391BDC2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49" y="266699"/>
              <a:ext cx="9563101" cy="9286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12</xdr:row>
      <xdr:rowOff>57150</xdr:rowOff>
    </xdr:from>
    <xdr:to>
      <xdr:col>1</xdr:col>
      <xdr:colOff>333375</xdr:colOff>
      <xdr:row>17</xdr:row>
      <xdr:rowOff>19050</xdr:rowOff>
    </xdr:to>
    <xdr:pic>
      <xdr:nvPicPr>
        <xdr:cNvPr id="9" name="Graphic 8" descr="Bar graph with downward trend">
          <a:extLst>
            <a:ext uri="{FF2B5EF4-FFF2-40B4-BE49-F238E27FC236}">
              <a16:creationId xmlns:a16="http://schemas.microsoft.com/office/drawing/2014/main" id="{DF291AC4-76F5-4A5E-8986-8677142A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23431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407175</xdr:colOff>
      <xdr:row>12</xdr:row>
      <xdr:rowOff>54750</xdr:rowOff>
    </xdr:from>
    <xdr:to>
      <xdr:col>3</xdr:col>
      <xdr:colOff>102375</xdr:colOff>
      <xdr:row>17</xdr:row>
      <xdr:rowOff>16650</xdr:rowOff>
    </xdr:to>
    <xdr:pic>
      <xdr:nvPicPr>
        <xdr:cNvPr id="11" name="Graphic 10" descr="Bar graph with upward trend RTL">
          <a:extLst>
            <a:ext uri="{FF2B5EF4-FFF2-40B4-BE49-F238E27FC236}">
              <a16:creationId xmlns:a16="http://schemas.microsoft.com/office/drawing/2014/main" id="{3C4705F6-40CB-4CAC-AA64-E238041BA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16775" y="234075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732.396112731483" createdVersion="6" refreshedVersion="6" minRefreshableVersion="3" recordCount="102" xr:uid="{5DCBFE4B-C060-4EEC-8E9E-5F53AE0D1EDA}">
  <cacheSource type="worksheet">
    <worksheetSource ref="A1:F103" sheet="Donor Data"/>
  </cacheSource>
  <cacheFields count="6">
    <cacheField name="NAME" numFmtId="0">
      <sharedItems/>
    </cacheField>
    <cacheField name="NEW_DONOR?" numFmtId="0">
      <sharedItems count="2">
        <s v="Yes"/>
        <s v="No"/>
      </sharedItems>
    </cacheField>
    <cacheField name="CITY" numFmtId="0">
      <sharedItems/>
    </cacheField>
    <cacheField name="STATE_US" numFmtId="0">
      <sharedItems/>
    </cacheField>
    <cacheField name="AMOUNT" numFmtId="164">
      <sharedItems containsSemiMixedTypes="0" containsString="0" containsNumber="1" containsInteger="1" minValue="30" maxValue="990"/>
    </cacheField>
    <cacheField name="VOLUNTEER" numFmtId="0">
      <sharedItems count="10">
        <s v="Bennett, Lucy"/>
        <s v="Diaz, Isabella"/>
        <s v="Flores, Iris"/>
        <s v="Foster, Hazel"/>
        <s v="Henderson, Elsie"/>
        <s v="Hughes, Elizabeth"/>
        <s v="Powell, Violet"/>
        <s v="Price, Ava"/>
        <s v="Simmons, Amelia"/>
        <s v="Wood, Ade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Donor_01"/>
    <x v="0"/>
    <s v="Boston"/>
    <s v="MA"/>
    <n v="840"/>
    <x v="0"/>
  </r>
  <r>
    <s v="Donor_02"/>
    <x v="0"/>
    <s v="Boston"/>
    <s v="MA"/>
    <n v="550"/>
    <x v="1"/>
  </r>
  <r>
    <s v="Donor_03"/>
    <x v="0"/>
    <s v="Boston"/>
    <s v="MA"/>
    <n v="940"/>
    <x v="2"/>
  </r>
  <r>
    <s v="Donor_04"/>
    <x v="0"/>
    <s v="Boston"/>
    <s v="MA"/>
    <n v="950"/>
    <x v="3"/>
  </r>
  <r>
    <s v="Donor_05"/>
    <x v="0"/>
    <s v="Boston"/>
    <s v="MA"/>
    <n v="620"/>
    <x v="4"/>
  </r>
  <r>
    <s v="Donor_06"/>
    <x v="0"/>
    <s v="Boston"/>
    <s v="MA"/>
    <n v="210"/>
    <x v="5"/>
  </r>
  <r>
    <s v="Donor_07"/>
    <x v="0"/>
    <s v="Boston"/>
    <s v="MA"/>
    <n v="890"/>
    <x v="6"/>
  </r>
  <r>
    <s v="Donor_08"/>
    <x v="0"/>
    <s v="Boston"/>
    <s v="MA"/>
    <n v="70"/>
    <x v="7"/>
  </r>
  <r>
    <s v="Donor_09"/>
    <x v="0"/>
    <s v="Boston"/>
    <s v="MA"/>
    <n v="800"/>
    <x v="8"/>
  </r>
  <r>
    <s v="Donor_10"/>
    <x v="0"/>
    <s v="Boston"/>
    <s v="MA"/>
    <n v="350"/>
    <x v="9"/>
  </r>
  <r>
    <s v="Donor_11"/>
    <x v="0"/>
    <s v="Boston"/>
    <s v="MA"/>
    <n v="510"/>
    <x v="0"/>
  </r>
  <r>
    <s v="Donor_12"/>
    <x v="0"/>
    <s v="Boston"/>
    <s v="MA"/>
    <n v="630"/>
    <x v="1"/>
  </r>
  <r>
    <s v="Donor_13"/>
    <x v="0"/>
    <s v="Boston"/>
    <s v="MA"/>
    <n v="240"/>
    <x v="2"/>
  </r>
  <r>
    <s v="Donor_14"/>
    <x v="0"/>
    <s v="Boston"/>
    <s v="MA"/>
    <n v="820"/>
    <x v="3"/>
  </r>
  <r>
    <s v="Donor_15"/>
    <x v="0"/>
    <s v="Boston"/>
    <s v="MA"/>
    <n v="560"/>
    <x v="4"/>
  </r>
  <r>
    <s v="Donor_16"/>
    <x v="0"/>
    <s v="Boston"/>
    <s v="MA"/>
    <n v="200"/>
    <x v="5"/>
  </r>
  <r>
    <s v="Donor_17"/>
    <x v="0"/>
    <s v="Boston"/>
    <s v="MA"/>
    <n v="580"/>
    <x v="6"/>
  </r>
  <r>
    <s v="Donor_18"/>
    <x v="0"/>
    <s v="Boston"/>
    <s v="MA"/>
    <n v="850"/>
    <x v="7"/>
  </r>
  <r>
    <s v="Donor_19"/>
    <x v="0"/>
    <s v="Boston"/>
    <s v="MA"/>
    <n v="70"/>
    <x v="8"/>
  </r>
  <r>
    <s v="Donor_20"/>
    <x v="0"/>
    <s v="Boston"/>
    <s v="MA"/>
    <n v="890"/>
    <x v="9"/>
  </r>
  <r>
    <s v="Donor_21"/>
    <x v="0"/>
    <s v="Boston"/>
    <s v="MA"/>
    <n v="620"/>
    <x v="0"/>
  </r>
  <r>
    <s v="Donor_22"/>
    <x v="0"/>
    <s v="Chicago"/>
    <s v="IL"/>
    <n v="780"/>
    <x v="2"/>
  </r>
  <r>
    <s v="Donor_23"/>
    <x v="0"/>
    <s v="Chicago"/>
    <s v="IL"/>
    <n v="620"/>
    <x v="3"/>
  </r>
  <r>
    <s v="Donor_24"/>
    <x v="0"/>
    <s v="Chicago"/>
    <s v="IL"/>
    <n v="990"/>
    <x v="4"/>
  </r>
  <r>
    <s v="Donor_25"/>
    <x v="0"/>
    <s v="Chicago"/>
    <s v="IL"/>
    <n v="910"/>
    <x v="5"/>
  </r>
  <r>
    <s v="Donor_26"/>
    <x v="0"/>
    <s v="Chicago"/>
    <s v="IL"/>
    <n v="660"/>
    <x v="6"/>
  </r>
  <r>
    <s v="Donor_27"/>
    <x v="0"/>
    <s v="Chicago"/>
    <s v="IL"/>
    <n v="610"/>
    <x v="7"/>
  </r>
  <r>
    <s v="Donor_28"/>
    <x v="0"/>
    <s v="Chicago"/>
    <s v="IL"/>
    <n v="360"/>
    <x v="8"/>
  </r>
  <r>
    <s v="Donor_29"/>
    <x v="0"/>
    <s v="Chicago"/>
    <s v="IL"/>
    <n v="270"/>
    <x v="9"/>
  </r>
  <r>
    <s v="Donor_30"/>
    <x v="0"/>
    <s v="Denver"/>
    <s v="CO"/>
    <n v="80"/>
    <x v="0"/>
  </r>
  <r>
    <s v="Donor_31"/>
    <x v="0"/>
    <s v="Denver"/>
    <s v="CO"/>
    <n v="620"/>
    <x v="1"/>
  </r>
  <r>
    <s v="Donor_32"/>
    <x v="1"/>
    <s v="Denver"/>
    <s v="CO"/>
    <n v="70"/>
    <x v="2"/>
  </r>
  <r>
    <s v="Donor_33"/>
    <x v="0"/>
    <s v="Las Vegas"/>
    <s v="NV"/>
    <n v="950"/>
    <x v="1"/>
  </r>
  <r>
    <s v="Donor_34"/>
    <x v="0"/>
    <s v="Las Vegas"/>
    <s v="NV"/>
    <n v="590"/>
    <x v="2"/>
  </r>
  <r>
    <s v="Donor_35"/>
    <x v="0"/>
    <s v="Las Vegas"/>
    <s v="NV"/>
    <n v="180"/>
    <x v="3"/>
  </r>
  <r>
    <s v="Donor_36"/>
    <x v="0"/>
    <s v="Las Vegas"/>
    <s v="NV"/>
    <n v="110"/>
    <x v="4"/>
  </r>
  <r>
    <s v="Donor_37"/>
    <x v="0"/>
    <s v="Los Angelas"/>
    <s v="CA"/>
    <n v="980"/>
    <x v="0"/>
  </r>
  <r>
    <s v="Donor_38"/>
    <x v="1"/>
    <s v="Los Angelas"/>
    <s v="CA"/>
    <n v="290"/>
    <x v="1"/>
  </r>
  <r>
    <s v="Donor_39"/>
    <x v="1"/>
    <s v="Los Angelas"/>
    <s v="CA"/>
    <n v="410"/>
    <x v="2"/>
  </r>
  <r>
    <s v="Donor_40"/>
    <x v="0"/>
    <s v="Memphis"/>
    <s v="TN"/>
    <n v="140"/>
    <x v="7"/>
  </r>
  <r>
    <s v="Donor_41"/>
    <x v="1"/>
    <s v="Memphis"/>
    <s v="TN"/>
    <n v="370"/>
    <x v="8"/>
  </r>
  <r>
    <s v="Donor_42"/>
    <x v="1"/>
    <s v="Memphis"/>
    <s v="TN"/>
    <n v="90"/>
    <x v="9"/>
  </r>
  <r>
    <s v="Donor_43"/>
    <x v="1"/>
    <s v="Memphis"/>
    <s v="TN"/>
    <n v="80"/>
    <x v="0"/>
  </r>
  <r>
    <s v="Donor_44"/>
    <x v="0"/>
    <s v="Miami"/>
    <s v="FL"/>
    <n v="420"/>
    <x v="3"/>
  </r>
  <r>
    <s v="Donor_45"/>
    <x v="1"/>
    <s v="Miami"/>
    <s v="FL"/>
    <n v="280"/>
    <x v="4"/>
  </r>
  <r>
    <s v="Donor_46"/>
    <x v="1"/>
    <s v="Miami"/>
    <s v="FL"/>
    <n v="210"/>
    <x v="5"/>
  </r>
  <r>
    <s v="Donor_47"/>
    <x v="1"/>
    <s v="Miami"/>
    <s v="FL"/>
    <n v="440"/>
    <x v="6"/>
  </r>
  <r>
    <s v="Donor_48"/>
    <x v="1"/>
    <s v="Miami"/>
    <s v="FL"/>
    <n v="390"/>
    <x v="7"/>
  </r>
  <r>
    <s v="Donor_49"/>
    <x v="0"/>
    <s v="Milwaukee"/>
    <s v="WI"/>
    <n v="470"/>
    <x v="6"/>
  </r>
  <r>
    <s v="Donor_50"/>
    <x v="0"/>
    <s v="Milwaukee"/>
    <s v="WI"/>
    <n v="210"/>
    <x v="7"/>
  </r>
  <r>
    <s v="Donor_51"/>
    <x v="1"/>
    <s v="Milwaukee"/>
    <s v="WI"/>
    <n v="850"/>
    <x v="8"/>
  </r>
  <r>
    <s v="Donor_52"/>
    <x v="1"/>
    <s v="Milwaukee"/>
    <s v="WI"/>
    <n v="350"/>
    <x v="9"/>
  </r>
  <r>
    <s v="Donor_53"/>
    <x v="0"/>
    <s v="Milwaukee"/>
    <s v="WI"/>
    <n v="80"/>
    <x v="5"/>
  </r>
  <r>
    <s v="Donor_54"/>
    <x v="0"/>
    <s v="Milwaukee"/>
    <s v="WI"/>
    <n v="940"/>
    <x v="6"/>
  </r>
  <r>
    <s v="Donor_55"/>
    <x v="0"/>
    <s v="New York"/>
    <s v="NY"/>
    <n v="800"/>
    <x v="5"/>
  </r>
  <r>
    <s v="Donor_56"/>
    <x v="0"/>
    <s v="New York"/>
    <s v="NY"/>
    <n v="890"/>
    <x v="6"/>
  </r>
  <r>
    <s v="Donor_57"/>
    <x v="0"/>
    <s v="New York"/>
    <s v="NY"/>
    <n v="290"/>
    <x v="7"/>
  </r>
  <r>
    <s v="Donor_58"/>
    <x v="0"/>
    <s v="New York"/>
    <s v="NY"/>
    <n v="780"/>
    <x v="8"/>
  </r>
  <r>
    <s v="Donor_59"/>
    <x v="1"/>
    <s v="New York"/>
    <s v="NY"/>
    <n v="30"/>
    <x v="9"/>
  </r>
  <r>
    <s v="Donor_60"/>
    <x v="1"/>
    <s v="New York"/>
    <s v="NY"/>
    <n v="970"/>
    <x v="0"/>
  </r>
  <r>
    <s v="Donor_61"/>
    <x v="0"/>
    <s v="Portland"/>
    <s v="OR"/>
    <n v="560"/>
    <x v="1"/>
  </r>
  <r>
    <s v="Donor_62"/>
    <x v="0"/>
    <s v="Portland"/>
    <s v="OR"/>
    <n v="840"/>
    <x v="2"/>
  </r>
  <r>
    <s v="Donor_63"/>
    <x v="0"/>
    <s v="Portland"/>
    <s v="OR"/>
    <n v="90"/>
    <x v="3"/>
  </r>
  <r>
    <s v="Donor_64"/>
    <x v="1"/>
    <s v="Portland"/>
    <s v="OR"/>
    <n v="290"/>
    <x v="4"/>
  </r>
  <r>
    <s v="Donor_65"/>
    <x v="1"/>
    <s v="Portland"/>
    <s v="OR"/>
    <n v="920"/>
    <x v="5"/>
  </r>
  <r>
    <s v="Donor_66"/>
    <x v="1"/>
    <s v="Portland"/>
    <s v="OR"/>
    <n v="270"/>
    <x v="6"/>
  </r>
  <r>
    <s v="Donor_67"/>
    <x v="1"/>
    <s v="Salt Lake City"/>
    <s v="UT"/>
    <n v="970"/>
    <x v="1"/>
  </r>
  <r>
    <s v="Donor_68"/>
    <x v="1"/>
    <s v="Salt Lake City"/>
    <s v="UT"/>
    <n v="690"/>
    <x v="2"/>
  </r>
  <r>
    <s v="Donor_69"/>
    <x v="1"/>
    <s v="Salt Lake City"/>
    <s v="UT"/>
    <n v="380"/>
    <x v="3"/>
  </r>
  <r>
    <s v="Donor_70"/>
    <x v="0"/>
    <s v="San Francisco"/>
    <s v="CA"/>
    <n v="180"/>
    <x v="3"/>
  </r>
  <r>
    <s v="Donor_71"/>
    <x v="0"/>
    <s v="San Francisco"/>
    <s v="CA"/>
    <n v="160"/>
    <x v="4"/>
  </r>
  <r>
    <s v="Donor_72"/>
    <x v="0"/>
    <s v="San Francisco"/>
    <s v="CA"/>
    <n v="540"/>
    <x v="5"/>
  </r>
  <r>
    <s v="Donor_73"/>
    <x v="0"/>
    <s v="San Francisco"/>
    <s v="CA"/>
    <n v="470"/>
    <x v="6"/>
  </r>
  <r>
    <s v="Donor_74"/>
    <x v="0"/>
    <s v="San Francisco"/>
    <s v="CA"/>
    <n v="210"/>
    <x v="7"/>
  </r>
  <r>
    <s v="Donor_75"/>
    <x v="0"/>
    <s v="San Francisco"/>
    <s v="CA"/>
    <n v="570"/>
    <x v="8"/>
  </r>
  <r>
    <s v="Donor_76"/>
    <x v="0"/>
    <s v="San Francisco"/>
    <s v="CA"/>
    <n v="440"/>
    <x v="9"/>
  </r>
  <r>
    <s v="Donor_77"/>
    <x v="0"/>
    <s v="San Francisco"/>
    <s v="CA"/>
    <n v="230"/>
    <x v="0"/>
  </r>
  <r>
    <s v="Donor_78"/>
    <x v="0"/>
    <s v="San Francisco"/>
    <s v="CA"/>
    <n v="90"/>
    <x v="1"/>
  </r>
  <r>
    <s v="Donor_79"/>
    <x v="0"/>
    <s v="San Francisco"/>
    <s v="CA"/>
    <n v="340"/>
    <x v="2"/>
  </r>
  <r>
    <s v="Donor_80"/>
    <x v="0"/>
    <s v="San Francisco"/>
    <s v="CA"/>
    <n v="820"/>
    <x v="3"/>
  </r>
  <r>
    <s v="Donor_81"/>
    <x v="0"/>
    <s v="San Francisco"/>
    <s v="CA"/>
    <n v="230"/>
    <x v="4"/>
  </r>
  <r>
    <s v="Donor_82"/>
    <x v="0"/>
    <s v="San Francisco"/>
    <s v="CA"/>
    <n v="650"/>
    <x v="5"/>
  </r>
  <r>
    <s v="Donor_83"/>
    <x v="0"/>
    <s v="San Francisco"/>
    <s v="CA"/>
    <n v="60"/>
    <x v="6"/>
  </r>
  <r>
    <s v="Donor_84"/>
    <x v="0"/>
    <s v="San Francisco"/>
    <s v="CA"/>
    <n v="130"/>
    <x v="7"/>
  </r>
  <r>
    <s v="Donor_85"/>
    <x v="0"/>
    <s v="San Francisco"/>
    <s v="CA"/>
    <n v="640"/>
    <x v="8"/>
  </r>
  <r>
    <s v="Donor_86"/>
    <x v="0"/>
    <s v="San Francisco"/>
    <s v="CA"/>
    <n v="230"/>
    <x v="9"/>
  </r>
  <r>
    <s v="Donor_103"/>
    <x v="0"/>
    <s v="Seattle"/>
    <s v="WA"/>
    <n v="90"/>
    <x v="5"/>
  </r>
  <r>
    <s v="Donor_87"/>
    <x v="1"/>
    <s v="Seattle"/>
    <s v="WA"/>
    <n v="610"/>
    <x v="4"/>
  </r>
  <r>
    <s v="Donor_100"/>
    <x v="0"/>
    <s v="Tampa"/>
    <s v="FL"/>
    <n v="100"/>
    <x v="0"/>
  </r>
  <r>
    <s v="Donor_101"/>
    <x v="0"/>
    <s v="Tampa"/>
    <s v="FL"/>
    <n v="400"/>
    <x v="1"/>
  </r>
  <r>
    <s v="Donor_88"/>
    <x v="0"/>
    <s v="Tampa"/>
    <s v="FL"/>
    <n v="490"/>
    <x v="8"/>
  </r>
  <r>
    <s v="Donor_89"/>
    <x v="0"/>
    <s v="Tampa"/>
    <s v="FL"/>
    <n v="610"/>
    <x v="9"/>
  </r>
  <r>
    <s v="Donor_90"/>
    <x v="1"/>
    <s v="Tampa"/>
    <s v="FL"/>
    <n v="130"/>
    <x v="0"/>
  </r>
  <r>
    <s v="Donor_91"/>
    <x v="1"/>
    <s v="Tampa"/>
    <s v="FL"/>
    <n v="390"/>
    <x v="1"/>
  </r>
  <r>
    <s v="Donor_92"/>
    <x v="0"/>
    <s v="Tampa"/>
    <s v="FL"/>
    <n v="970"/>
    <x v="2"/>
  </r>
  <r>
    <s v="Donor_93"/>
    <x v="0"/>
    <s v="Tampa"/>
    <s v="FL"/>
    <n v="930"/>
    <x v="3"/>
  </r>
  <r>
    <s v="Donor_94"/>
    <x v="0"/>
    <s v="Tampa"/>
    <s v="FL"/>
    <n v="90"/>
    <x v="4"/>
  </r>
  <r>
    <s v="Donor_95"/>
    <x v="0"/>
    <s v="Tampa"/>
    <s v="FL"/>
    <n v="960"/>
    <x v="5"/>
  </r>
  <r>
    <s v="Donor_96"/>
    <x v="0"/>
    <s v="Tampa"/>
    <s v="FL"/>
    <n v="310"/>
    <x v="6"/>
  </r>
  <r>
    <s v="Donor_97"/>
    <x v="0"/>
    <s v="Tampa"/>
    <s v="FL"/>
    <n v="380"/>
    <x v="7"/>
  </r>
  <r>
    <s v="Donor_98"/>
    <x v="0"/>
    <s v="Tampa"/>
    <s v="FL"/>
    <n v="700"/>
    <x v="8"/>
  </r>
  <r>
    <s v="Donor_99"/>
    <x v="0"/>
    <s v="Tampa"/>
    <s v="FL"/>
    <n v="41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CBF84-1BE0-4B6D-83C4-E7FDFE2A31FE}" name="PivotTable1" cacheId="9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6" indent="0" outline="1" outlineData="1" multipleFieldFilters="0" chartFormat="3" rowHeaderCaption="YES or NO">
  <location ref="A1:B4" firstHeaderRow="1" firstDataRow="1" firstDataCol="1"/>
  <pivotFields count="6">
    <pivotField showAll="0"/>
    <pivotField axis="axisRow" dataField="1" showAll="0" sortType="descending">
      <items count="3">
        <item x="0"/>
        <item x="1"/>
        <item t="default"/>
      </items>
    </pivotField>
    <pivotField showAll="0"/>
    <pivotField showAll="0"/>
    <pivotField numFmtId="164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% of REPEAT" fld="1" subtotal="count" showDataAs="percentOfTotal" baseField="1" baseItem="0" numFmtId="9"/>
  </dataFields>
  <formats count="3"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0ADDA-9C2D-4121-880C-AA18D39670C2}" name="PivotTable1" cacheId="9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VOLUNTEER">
  <location ref="A1:B11" firstHeaderRow="1" firstDataRow="1" firstDataCol="1"/>
  <pivotFields count="6">
    <pivotField showAll="0"/>
    <pivotField showAll="0"/>
    <pivotField showAll="0"/>
    <pivotField showAll="0"/>
    <pivotField dataField="1" numFmtId="164" showAll="0"/>
    <pivotField axis="axisRow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0">
    <i>
      <x v="3"/>
    </i>
    <i>
      <x v="7"/>
    </i>
    <i>
      <x v="1"/>
    </i>
    <i>
      <x v="4"/>
    </i>
    <i>
      <x v="8"/>
    </i>
    <i>
      <x v="6"/>
    </i>
    <i>
      <x v="9"/>
    </i>
    <i>
      <x v="5"/>
    </i>
    <i>
      <x/>
    </i>
    <i>
      <x v="2"/>
    </i>
  </rowItems>
  <colItems count="1">
    <i/>
  </colItems>
  <dataFields count="1">
    <dataField name="AMT_RAISED" fld="4" baseField="0" baseItem="0" numFmtId="6"/>
  </dataFields>
  <formats count="3">
    <format dxfId="2">
      <pivotArea field="5" type="button" dataOnly="0" labelOnly="1" outline="0" axis="axisRow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8BC3-677B-4277-8C9D-80F7CCFB7A34}">
  <dimension ref="A1:F103"/>
  <sheetViews>
    <sheetView showGridLines="0" workbookViewId="0">
      <selection sqref="A1:F103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2.7109375" bestFit="1" customWidth="1"/>
    <col min="5" max="5" width="9.42578125" bestFit="1" customWidth="1"/>
    <col min="6" max="6" width="1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78</v>
      </c>
      <c r="B2" s="2" t="s">
        <v>7</v>
      </c>
      <c r="C2" s="2" t="s">
        <v>79</v>
      </c>
      <c r="D2" s="2" t="s">
        <v>80</v>
      </c>
      <c r="E2" s="3">
        <v>840</v>
      </c>
      <c r="F2" s="2" t="s">
        <v>10</v>
      </c>
    </row>
    <row r="3" spans="1:6" x14ac:dyDescent="0.25">
      <c r="A3" s="2" t="s">
        <v>81</v>
      </c>
      <c r="B3" s="2" t="s">
        <v>7</v>
      </c>
      <c r="C3" s="2" t="s">
        <v>79</v>
      </c>
      <c r="D3" s="2" t="s">
        <v>80</v>
      </c>
      <c r="E3" s="3">
        <v>550</v>
      </c>
      <c r="F3" s="2" t="s">
        <v>13</v>
      </c>
    </row>
    <row r="4" spans="1:6" x14ac:dyDescent="0.25">
      <c r="A4" s="2" t="s">
        <v>82</v>
      </c>
      <c r="B4" s="2" t="s">
        <v>7</v>
      </c>
      <c r="C4" s="2" t="s">
        <v>79</v>
      </c>
      <c r="D4" s="2" t="s">
        <v>80</v>
      </c>
      <c r="E4" s="3">
        <v>940</v>
      </c>
      <c r="F4" s="2" t="s">
        <v>15</v>
      </c>
    </row>
    <row r="5" spans="1:6" x14ac:dyDescent="0.25">
      <c r="A5" s="2" t="s">
        <v>83</v>
      </c>
      <c r="B5" s="2" t="s">
        <v>7</v>
      </c>
      <c r="C5" s="2" t="s">
        <v>79</v>
      </c>
      <c r="D5" s="2" t="s">
        <v>80</v>
      </c>
      <c r="E5" s="3">
        <v>950</v>
      </c>
      <c r="F5" s="2" t="s">
        <v>18</v>
      </c>
    </row>
    <row r="6" spans="1:6" x14ac:dyDescent="0.25">
      <c r="A6" s="2" t="s">
        <v>84</v>
      </c>
      <c r="B6" s="2" t="s">
        <v>7</v>
      </c>
      <c r="C6" s="2" t="s">
        <v>79</v>
      </c>
      <c r="D6" s="2" t="s">
        <v>80</v>
      </c>
      <c r="E6" s="3">
        <v>620</v>
      </c>
      <c r="F6" s="2" t="s">
        <v>20</v>
      </c>
    </row>
    <row r="7" spans="1:6" x14ac:dyDescent="0.25">
      <c r="A7" s="2" t="s">
        <v>85</v>
      </c>
      <c r="B7" s="2" t="s">
        <v>7</v>
      </c>
      <c r="C7" s="2" t="s">
        <v>79</v>
      </c>
      <c r="D7" s="2" t="s">
        <v>80</v>
      </c>
      <c r="E7" s="3">
        <v>210</v>
      </c>
      <c r="F7" s="2" t="s">
        <v>22</v>
      </c>
    </row>
    <row r="8" spans="1:6" x14ac:dyDescent="0.25">
      <c r="A8" s="2" t="s">
        <v>86</v>
      </c>
      <c r="B8" s="2" t="s">
        <v>7</v>
      </c>
      <c r="C8" s="2" t="s">
        <v>79</v>
      </c>
      <c r="D8" s="2" t="s">
        <v>80</v>
      </c>
      <c r="E8" s="3">
        <v>890</v>
      </c>
      <c r="F8" s="2" t="s">
        <v>24</v>
      </c>
    </row>
    <row r="9" spans="1:6" x14ac:dyDescent="0.25">
      <c r="A9" s="2" t="s">
        <v>87</v>
      </c>
      <c r="B9" s="2" t="s">
        <v>7</v>
      </c>
      <c r="C9" s="2" t="s">
        <v>79</v>
      </c>
      <c r="D9" s="2" t="s">
        <v>80</v>
      </c>
      <c r="E9" s="3">
        <v>70</v>
      </c>
      <c r="F9" s="2" t="s">
        <v>26</v>
      </c>
    </row>
    <row r="10" spans="1:6" x14ac:dyDescent="0.25">
      <c r="A10" s="2" t="s">
        <v>88</v>
      </c>
      <c r="B10" s="2" t="s">
        <v>7</v>
      </c>
      <c r="C10" s="2" t="s">
        <v>79</v>
      </c>
      <c r="D10" s="2" t="s">
        <v>80</v>
      </c>
      <c r="E10" s="3">
        <v>800</v>
      </c>
      <c r="F10" s="2" t="s">
        <v>28</v>
      </c>
    </row>
    <row r="11" spans="1:6" x14ac:dyDescent="0.25">
      <c r="A11" s="2" t="s">
        <v>89</v>
      </c>
      <c r="B11" s="2" t="s">
        <v>7</v>
      </c>
      <c r="C11" s="2" t="s">
        <v>79</v>
      </c>
      <c r="D11" s="2" t="s">
        <v>80</v>
      </c>
      <c r="E11" s="3">
        <v>350</v>
      </c>
      <c r="F11" s="2" t="s">
        <v>30</v>
      </c>
    </row>
    <row r="12" spans="1:6" x14ac:dyDescent="0.25">
      <c r="A12" s="2" t="s">
        <v>90</v>
      </c>
      <c r="B12" s="2" t="s">
        <v>7</v>
      </c>
      <c r="C12" s="2" t="s">
        <v>79</v>
      </c>
      <c r="D12" s="2" t="s">
        <v>80</v>
      </c>
      <c r="E12" s="3">
        <v>510</v>
      </c>
      <c r="F12" s="2" t="s">
        <v>10</v>
      </c>
    </row>
    <row r="13" spans="1:6" x14ac:dyDescent="0.25">
      <c r="A13" s="2" t="s">
        <v>91</v>
      </c>
      <c r="B13" s="2" t="s">
        <v>7</v>
      </c>
      <c r="C13" s="2" t="s">
        <v>79</v>
      </c>
      <c r="D13" s="2" t="s">
        <v>80</v>
      </c>
      <c r="E13" s="3">
        <v>630</v>
      </c>
      <c r="F13" s="2" t="s">
        <v>13</v>
      </c>
    </row>
    <row r="14" spans="1:6" x14ac:dyDescent="0.25">
      <c r="A14" s="2" t="s">
        <v>92</v>
      </c>
      <c r="B14" s="2" t="s">
        <v>7</v>
      </c>
      <c r="C14" s="2" t="s">
        <v>79</v>
      </c>
      <c r="D14" s="2" t="s">
        <v>80</v>
      </c>
      <c r="E14" s="3">
        <v>240</v>
      </c>
      <c r="F14" s="2" t="s">
        <v>15</v>
      </c>
    </row>
    <row r="15" spans="1:6" x14ac:dyDescent="0.25">
      <c r="A15" s="2" t="s">
        <v>93</v>
      </c>
      <c r="B15" s="2" t="s">
        <v>7</v>
      </c>
      <c r="C15" s="2" t="s">
        <v>79</v>
      </c>
      <c r="D15" s="2" t="s">
        <v>80</v>
      </c>
      <c r="E15" s="3">
        <v>820</v>
      </c>
      <c r="F15" s="2" t="s">
        <v>18</v>
      </c>
    </row>
    <row r="16" spans="1:6" x14ac:dyDescent="0.25">
      <c r="A16" s="2" t="s">
        <v>94</v>
      </c>
      <c r="B16" s="2" t="s">
        <v>7</v>
      </c>
      <c r="C16" s="2" t="s">
        <v>79</v>
      </c>
      <c r="D16" s="2" t="s">
        <v>80</v>
      </c>
      <c r="E16" s="3">
        <v>560</v>
      </c>
      <c r="F16" s="2" t="s">
        <v>20</v>
      </c>
    </row>
    <row r="17" spans="1:6" x14ac:dyDescent="0.25">
      <c r="A17" s="2" t="s">
        <v>95</v>
      </c>
      <c r="B17" s="2" t="s">
        <v>7</v>
      </c>
      <c r="C17" s="2" t="s">
        <v>79</v>
      </c>
      <c r="D17" s="2" t="s">
        <v>80</v>
      </c>
      <c r="E17" s="3">
        <v>200</v>
      </c>
      <c r="F17" s="2" t="s">
        <v>22</v>
      </c>
    </row>
    <row r="18" spans="1:6" x14ac:dyDescent="0.25">
      <c r="A18" s="2" t="s">
        <v>96</v>
      </c>
      <c r="B18" s="2" t="s">
        <v>7</v>
      </c>
      <c r="C18" s="2" t="s">
        <v>79</v>
      </c>
      <c r="D18" s="2" t="s">
        <v>80</v>
      </c>
      <c r="E18" s="3">
        <v>580</v>
      </c>
      <c r="F18" s="2" t="s">
        <v>24</v>
      </c>
    </row>
    <row r="19" spans="1:6" x14ac:dyDescent="0.25">
      <c r="A19" s="2" t="s">
        <v>97</v>
      </c>
      <c r="B19" s="2" t="s">
        <v>7</v>
      </c>
      <c r="C19" s="2" t="s">
        <v>79</v>
      </c>
      <c r="D19" s="2" t="s">
        <v>80</v>
      </c>
      <c r="E19" s="3">
        <v>850</v>
      </c>
      <c r="F19" s="2" t="s">
        <v>26</v>
      </c>
    </row>
    <row r="20" spans="1:6" x14ac:dyDescent="0.25">
      <c r="A20" s="2" t="s">
        <v>98</v>
      </c>
      <c r="B20" s="2" t="s">
        <v>7</v>
      </c>
      <c r="C20" s="2" t="s">
        <v>79</v>
      </c>
      <c r="D20" s="2" t="s">
        <v>80</v>
      </c>
      <c r="E20" s="3">
        <v>70</v>
      </c>
      <c r="F20" s="2" t="s">
        <v>28</v>
      </c>
    </row>
    <row r="21" spans="1:6" x14ac:dyDescent="0.25">
      <c r="A21" s="2" t="s">
        <v>99</v>
      </c>
      <c r="B21" s="2" t="s">
        <v>7</v>
      </c>
      <c r="C21" s="2" t="s">
        <v>79</v>
      </c>
      <c r="D21" s="2" t="s">
        <v>80</v>
      </c>
      <c r="E21" s="3">
        <v>890</v>
      </c>
      <c r="F21" s="2" t="s">
        <v>30</v>
      </c>
    </row>
    <row r="22" spans="1:6" x14ac:dyDescent="0.25">
      <c r="A22" s="2" t="s">
        <v>100</v>
      </c>
      <c r="B22" s="2" t="s">
        <v>7</v>
      </c>
      <c r="C22" s="2" t="s">
        <v>79</v>
      </c>
      <c r="D22" s="2" t="s">
        <v>80</v>
      </c>
      <c r="E22" s="3">
        <v>620</v>
      </c>
      <c r="F22" s="2" t="s">
        <v>10</v>
      </c>
    </row>
    <row r="23" spans="1:6" x14ac:dyDescent="0.25">
      <c r="A23" s="2" t="s">
        <v>68</v>
      </c>
      <c r="B23" s="2" t="s">
        <v>7</v>
      </c>
      <c r="C23" s="2" t="s">
        <v>69</v>
      </c>
      <c r="D23" s="2" t="s">
        <v>70</v>
      </c>
      <c r="E23" s="3">
        <v>780</v>
      </c>
      <c r="F23" s="2" t="s">
        <v>15</v>
      </c>
    </row>
    <row r="24" spans="1:6" x14ac:dyDescent="0.25">
      <c r="A24" s="2" t="s">
        <v>71</v>
      </c>
      <c r="B24" s="2" t="s">
        <v>7</v>
      </c>
      <c r="C24" s="2" t="s">
        <v>69</v>
      </c>
      <c r="D24" s="2" t="s">
        <v>70</v>
      </c>
      <c r="E24" s="3">
        <v>620</v>
      </c>
      <c r="F24" s="2" t="s">
        <v>18</v>
      </c>
    </row>
    <row r="25" spans="1:6" x14ac:dyDescent="0.25">
      <c r="A25" s="2" t="s">
        <v>72</v>
      </c>
      <c r="B25" s="2" t="s">
        <v>7</v>
      </c>
      <c r="C25" s="2" t="s">
        <v>69</v>
      </c>
      <c r="D25" s="2" t="s">
        <v>70</v>
      </c>
      <c r="E25" s="3">
        <v>990</v>
      </c>
      <c r="F25" s="2" t="s">
        <v>20</v>
      </c>
    </row>
    <row r="26" spans="1:6" x14ac:dyDescent="0.25">
      <c r="A26" s="2" t="s">
        <v>73</v>
      </c>
      <c r="B26" s="2" t="s">
        <v>7</v>
      </c>
      <c r="C26" s="2" t="s">
        <v>69</v>
      </c>
      <c r="D26" s="2" t="s">
        <v>70</v>
      </c>
      <c r="E26" s="3">
        <v>910</v>
      </c>
      <c r="F26" s="2" t="s">
        <v>22</v>
      </c>
    </row>
    <row r="27" spans="1:6" x14ac:dyDescent="0.25">
      <c r="A27" s="2" t="s">
        <v>74</v>
      </c>
      <c r="B27" s="2" t="s">
        <v>7</v>
      </c>
      <c r="C27" s="2" t="s">
        <v>69</v>
      </c>
      <c r="D27" s="2" t="s">
        <v>70</v>
      </c>
      <c r="E27" s="3">
        <v>660</v>
      </c>
      <c r="F27" s="2" t="s">
        <v>24</v>
      </c>
    </row>
    <row r="28" spans="1:6" x14ac:dyDescent="0.25">
      <c r="A28" s="2" t="s">
        <v>75</v>
      </c>
      <c r="B28" s="2" t="s">
        <v>7</v>
      </c>
      <c r="C28" s="2" t="s">
        <v>69</v>
      </c>
      <c r="D28" s="2" t="s">
        <v>70</v>
      </c>
      <c r="E28" s="3">
        <v>610</v>
      </c>
      <c r="F28" s="2" t="s">
        <v>26</v>
      </c>
    </row>
    <row r="29" spans="1:6" x14ac:dyDescent="0.25">
      <c r="A29" s="2" t="s">
        <v>76</v>
      </c>
      <c r="B29" s="2" t="s">
        <v>7</v>
      </c>
      <c r="C29" s="2" t="s">
        <v>69</v>
      </c>
      <c r="D29" s="2" t="s">
        <v>70</v>
      </c>
      <c r="E29" s="3">
        <v>360</v>
      </c>
      <c r="F29" s="2" t="s">
        <v>28</v>
      </c>
    </row>
    <row r="30" spans="1:6" x14ac:dyDescent="0.25">
      <c r="A30" s="2" t="s">
        <v>77</v>
      </c>
      <c r="B30" s="2" t="s">
        <v>7</v>
      </c>
      <c r="C30" s="2" t="s">
        <v>69</v>
      </c>
      <c r="D30" s="2" t="s">
        <v>70</v>
      </c>
      <c r="E30" s="3">
        <v>270</v>
      </c>
      <c r="F30" s="2" t="s">
        <v>30</v>
      </c>
    </row>
    <row r="31" spans="1:6" x14ac:dyDescent="0.25">
      <c r="A31" s="2" t="s">
        <v>41</v>
      </c>
      <c r="B31" s="2" t="s">
        <v>7</v>
      </c>
      <c r="C31" s="2" t="s">
        <v>42</v>
      </c>
      <c r="D31" s="2" t="s">
        <v>43</v>
      </c>
      <c r="E31" s="3">
        <v>80</v>
      </c>
      <c r="F31" s="2" t="s">
        <v>10</v>
      </c>
    </row>
    <row r="32" spans="1:6" x14ac:dyDescent="0.25">
      <c r="A32" s="2" t="s">
        <v>44</v>
      </c>
      <c r="B32" s="2" t="s">
        <v>7</v>
      </c>
      <c r="C32" s="2" t="s">
        <v>42</v>
      </c>
      <c r="D32" s="2" t="s">
        <v>43</v>
      </c>
      <c r="E32" s="3">
        <v>620</v>
      </c>
      <c r="F32" s="2" t="s">
        <v>13</v>
      </c>
    </row>
    <row r="33" spans="1:6" x14ac:dyDescent="0.25">
      <c r="A33" s="2" t="s">
        <v>45</v>
      </c>
      <c r="B33" s="2" t="s">
        <v>12</v>
      </c>
      <c r="C33" s="2" t="s">
        <v>42</v>
      </c>
      <c r="D33" s="2" t="s">
        <v>43</v>
      </c>
      <c r="E33" s="3">
        <v>70</v>
      </c>
      <c r="F33" s="2" t="s">
        <v>15</v>
      </c>
    </row>
    <row r="34" spans="1:6" x14ac:dyDescent="0.25">
      <c r="A34" s="2" t="s">
        <v>101</v>
      </c>
      <c r="B34" s="2" t="s">
        <v>7</v>
      </c>
      <c r="C34" s="2" t="s">
        <v>102</v>
      </c>
      <c r="D34" s="2" t="s">
        <v>103</v>
      </c>
      <c r="E34" s="3">
        <v>950</v>
      </c>
      <c r="F34" s="2" t="s">
        <v>13</v>
      </c>
    </row>
    <row r="35" spans="1:6" x14ac:dyDescent="0.25">
      <c r="A35" s="2" t="s">
        <v>104</v>
      </c>
      <c r="B35" s="2" t="s">
        <v>7</v>
      </c>
      <c r="C35" s="2" t="s">
        <v>102</v>
      </c>
      <c r="D35" s="2" t="s">
        <v>103</v>
      </c>
      <c r="E35" s="3">
        <v>590</v>
      </c>
      <c r="F35" s="2" t="s">
        <v>15</v>
      </c>
    </row>
    <row r="36" spans="1:6" x14ac:dyDescent="0.25">
      <c r="A36" s="2" t="s">
        <v>105</v>
      </c>
      <c r="B36" s="2" t="s">
        <v>7</v>
      </c>
      <c r="C36" s="2" t="s">
        <v>102</v>
      </c>
      <c r="D36" s="2" t="s">
        <v>103</v>
      </c>
      <c r="E36" s="3">
        <v>180</v>
      </c>
      <c r="F36" s="2" t="s">
        <v>18</v>
      </c>
    </row>
    <row r="37" spans="1:6" x14ac:dyDescent="0.25">
      <c r="A37" s="2" t="s">
        <v>106</v>
      </c>
      <c r="B37" s="2" t="s">
        <v>7</v>
      </c>
      <c r="C37" s="2" t="s">
        <v>102</v>
      </c>
      <c r="D37" s="2" t="s">
        <v>103</v>
      </c>
      <c r="E37" s="3">
        <v>110</v>
      </c>
      <c r="F37" s="2" t="s">
        <v>20</v>
      </c>
    </row>
    <row r="38" spans="1:6" x14ac:dyDescent="0.25">
      <c r="A38" s="2" t="s">
        <v>6</v>
      </c>
      <c r="B38" s="2" t="s">
        <v>7</v>
      </c>
      <c r="C38" s="2" t="s">
        <v>8</v>
      </c>
      <c r="D38" s="2" t="s">
        <v>9</v>
      </c>
      <c r="E38" s="3">
        <v>980</v>
      </c>
      <c r="F38" s="2" t="s">
        <v>10</v>
      </c>
    </row>
    <row r="39" spans="1:6" x14ac:dyDescent="0.25">
      <c r="A39" s="2" t="s">
        <v>11</v>
      </c>
      <c r="B39" s="2" t="s">
        <v>12</v>
      </c>
      <c r="C39" s="2" t="s">
        <v>8</v>
      </c>
      <c r="D39" s="2" t="s">
        <v>9</v>
      </c>
      <c r="E39" s="3">
        <v>290</v>
      </c>
      <c r="F39" s="2" t="s">
        <v>13</v>
      </c>
    </row>
    <row r="40" spans="1:6" x14ac:dyDescent="0.25">
      <c r="A40" s="2" t="s">
        <v>14</v>
      </c>
      <c r="B40" s="2" t="s">
        <v>12</v>
      </c>
      <c r="C40" s="2" t="s">
        <v>8</v>
      </c>
      <c r="D40" s="2" t="s">
        <v>9</v>
      </c>
      <c r="E40" s="3">
        <v>410</v>
      </c>
      <c r="F40" s="2" t="s">
        <v>15</v>
      </c>
    </row>
    <row r="41" spans="1:6" x14ac:dyDescent="0.25">
      <c r="A41" s="2" t="s">
        <v>123</v>
      </c>
      <c r="B41" s="2" t="s">
        <v>7</v>
      </c>
      <c r="C41" s="2" t="s">
        <v>124</v>
      </c>
      <c r="D41" s="2" t="s">
        <v>125</v>
      </c>
      <c r="E41" s="3">
        <v>140</v>
      </c>
      <c r="F41" s="2" t="s">
        <v>26</v>
      </c>
    </row>
    <row r="42" spans="1:6" x14ac:dyDescent="0.25">
      <c r="A42" s="2" t="s">
        <v>126</v>
      </c>
      <c r="B42" s="2" t="s">
        <v>12</v>
      </c>
      <c r="C42" s="2" t="s">
        <v>124</v>
      </c>
      <c r="D42" s="2" t="s">
        <v>125</v>
      </c>
      <c r="E42" s="3">
        <v>370</v>
      </c>
      <c r="F42" s="2" t="s">
        <v>28</v>
      </c>
    </row>
    <row r="43" spans="1:6" x14ac:dyDescent="0.25">
      <c r="A43" s="2" t="s">
        <v>127</v>
      </c>
      <c r="B43" s="2" t="s">
        <v>12</v>
      </c>
      <c r="C43" s="2" t="s">
        <v>124</v>
      </c>
      <c r="D43" s="2" t="s">
        <v>125</v>
      </c>
      <c r="E43" s="3">
        <v>90</v>
      </c>
      <c r="F43" s="2" t="s">
        <v>30</v>
      </c>
    </row>
    <row r="44" spans="1:6" x14ac:dyDescent="0.25">
      <c r="A44" s="2" t="s">
        <v>128</v>
      </c>
      <c r="B44" s="2" t="s">
        <v>12</v>
      </c>
      <c r="C44" s="2" t="s">
        <v>124</v>
      </c>
      <c r="D44" s="2" t="s">
        <v>125</v>
      </c>
      <c r="E44" s="3">
        <v>80</v>
      </c>
      <c r="F44" s="2" t="s">
        <v>10</v>
      </c>
    </row>
    <row r="45" spans="1:6" x14ac:dyDescent="0.25">
      <c r="A45" s="2" t="s">
        <v>46</v>
      </c>
      <c r="B45" s="2" t="s">
        <v>7</v>
      </c>
      <c r="C45" s="2" t="s">
        <v>47</v>
      </c>
      <c r="D45" s="2" t="s">
        <v>48</v>
      </c>
      <c r="E45" s="3">
        <v>420</v>
      </c>
      <c r="F45" s="2" t="s">
        <v>18</v>
      </c>
    </row>
    <row r="46" spans="1:6" x14ac:dyDescent="0.25">
      <c r="A46" s="2" t="s">
        <v>49</v>
      </c>
      <c r="B46" s="2" t="s">
        <v>12</v>
      </c>
      <c r="C46" s="2" t="s">
        <v>47</v>
      </c>
      <c r="D46" s="2" t="s">
        <v>48</v>
      </c>
      <c r="E46" s="3">
        <v>280</v>
      </c>
      <c r="F46" s="2" t="s">
        <v>20</v>
      </c>
    </row>
    <row r="47" spans="1:6" x14ac:dyDescent="0.25">
      <c r="A47" s="2" t="s">
        <v>50</v>
      </c>
      <c r="B47" s="2" t="s">
        <v>12</v>
      </c>
      <c r="C47" s="2" t="s">
        <v>47</v>
      </c>
      <c r="D47" s="2" t="s">
        <v>48</v>
      </c>
      <c r="E47" s="3">
        <v>210</v>
      </c>
      <c r="F47" s="2" t="s">
        <v>22</v>
      </c>
    </row>
    <row r="48" spans="1:6" x14ac:dyDescent="0.25">
      <c r="A48" s="2" t="s">
        <v>51</v>
      </c>
      <c r="B48" s="2" t="s">
        <v>12</v>
      </c>
      <c r="C48" s="2" t="s">
        <v>47</v>
      </c>
      <c r="D48" s="2" t="s">
        <v>48</v>
      </c>
      <c r="E48" s="3">
        <v>440</v>
      </c>
      <c r="F48" s="2" t="s">
        <v>24</v>
      </c>
    </row>
    <row r="49" spans="1:6" x14ac:dyDescent="0.25">
      <c r="A49" s="2" t="s">
        <v>52</v>
      </c>
      <c r="B49" s="2" t="s">
        <v>12</v>
      </c>
      <c r="C49" s="2" t="s">
        <v>47</v>
      </c>
      <c r="D49" s="2" t="s">
        <v>48</v>
      </c>
      <c r="E49" s="3">
        <v>390</v>
      </c>
      <c r="F49" s="2" t="s">
        <v>26</v>
      </c>
    </row>
    <row r="50" spans="1:6" x14ac:dyDescent="0.25">
      <c r="A50" s="2" t="s">
        <v>138</v>
      </c>
      <c r="B50" s="2" t="s">
        <v>7</v>
      </c>
      <c r="C50" s="2" t="s">
        <v>139</v>
      </c>
      <c r="D50" s="2" t="s">
        <v>140</v>
      </c>
      <c r="E50" s="3">
        <v>470</v>
      </c>
      <c r="F50" s="2" t="s">
        <v>24</v>
      </c>
    </row>
    <row r="51" spans="1:6" x14ac:dyDescent="0.25">
      <c r="A51" s="2" t="s">
        <v>141</v>
      </c>
      <c r="B51" s="2" t="s">
        <v>7</v>
      </c>
      <c r="C51" s="2" t="s">
        <v>139</v>
      </c>
      <c r="D51" s="2" t="s">
        <v>140</v>
      </c>
      <c r="E51" s="3">
        <v>210</v>
      </c>
      <c r="F51" s="2" t="s">
        <v>26</v>
      </c>
    </row>
    <row r="52" spans="1:6" x14ac:dyDescent="0.25">
      <c r="A52" s="2" t="s">
        <v>142</v>
      </c>
      <c r="B52" s="2" t="s">
        <v>12</v>
      </c>
      <c r="C52" s="2" t="s">
        <v>139</v>
      </c>
      <c r="D52" s="2" t="s">
        <v>140</v>
      </c>
      <c r="E52" s="3">
        <v>850</v>
      </c>
      <c r="F52" s="2" t="s">
        <v>28</v>
      </c>
    </row>
    <row r="53" spans="1:6" x14ac:dyDescent="0.25">
      <c r="A53" s="2" t="s">
        <v>143</v>
      </c>
      <c r="B53" s="2" t="s">
        <v>12</v>
      </c>
      <c r="C53" s="2" t="s">
        <v>139</v>
      </c>
      <c r="D53" s="2" t="s">
        <v>140</v>
      </c>
      <c r="E53" s="3">
        <v>350</v>
      </c>
      <c r="F53" s="2" t="s">
        <v>30</v>
      </c>
    </row>
    <row r="54" spans="1:6" x14ac:dyDescent="0.25">
      <c r="A54" s="2" t="s">
        <v>144</v>
      </c>
      <c r="B54" s="2" t="s">
        <v>7</v>
      </c>
      <c r="C54" s="2" t="s">
        <v>139</v>
      </c>
      <c r="D54" s="2" t="s">
        <v>140</v>
      </c>
      <c r="E54" s="3">
        <v>80</v>
      </c>
      <c r="F54" s="2" t="s">
        <v>22</v>
      </c>
    </row>
    <row r="55" spans="1:6" x14ac:dyDescent="0.25">
      <c r="A55" s="2" t="s">
        <v>145</v>
      </c>
      <c r="B55" s="2" t="s">
        <v>7</v>
      </c>
      <c r="C55" s="2" t="s">
        <v>139</v>
      </c>
      <c r="D55" s="2" t="s">
        <v>140</v>
      </c>
      <c r="E55" s="3">
        <v>940</v>
      </c>
      <c r="F55" s="2" t="s">
        <v>24</v>
      </c>
    </row>
    <row r="56" spans="1:6" x14ac:dyDescent="0.25">
      <c r="A56" s="2" t="s">
        <v>107</v>
      </c>
      <c r="B56" s="2" t="s">
        <v>7</v>
      </c>
      <c r="C56" s="2" t="s">
        <v>108</v>
      </c>
      <c r="D56" s="2" t="s">
        <v>109</v>
      </c>
      <c r="E56" s="3">
        <v>800</v>
      </c>
      <c r="F56" s="2" t="s">
        <v>22</v>
      </c>
    </row>
    <row r="57" spans="1:6" x14ac:dyDescent="0.25">
      <c r="A57" s="2" t="s">
        <v>110</v>
      </c>
      <c r="B57" s="2" t="s">
        <v>7</v>
      </c>
      <c r="C57" s="2" t="s">
        <v>108</v>
      </c>
      <c r="D57" s="2" t="s">
        <v>109</v>
      </c>
      <c r="E57" s="3">
        <v>890</v>
      </c>
      <c r="F57" s="2" t="s">
        <v>24</v>
      </c>
    </row>
    <row r="58" spans="1:6" x14ac:dyDescent="0.25">
      <c r="A58" s="2" t="s">
        <v>111</v>
      </c>
      <c r="B58" s="2" t="s">
        <v>7</v>
      </c>
      <c r="C58" s="2" t="s">
        <v>108</v>
      </c>
      <c r="D58" s="2" t="s">
        <v>109</v>
      </c>
      <c r="E58" s="3">
        <v>290</v>
      </c>
      <c r="F58" s="2" t="s">
        <v>26</v>
      </c>
    </row>
    <row r="59" spans="1:6" x14ac:dyDescent="0.25">
      <c r="A59" s="2" t="s">
        <v>112</v>
      </c>
      <c r="B59" s="2" t="s">
        <v>7</v>
      </c>
      <c r="C59" s="2" t="s">
        <v>108</v>
      </c>
      <c r="D59" s="2" t="s">
        <v>109</v>
      </c>
      <c r="E59" s="3">
        <v>780</v>
      </c>
      <c r="F59" s="2" t="s">
        <v>28</v>
      </c>
    </row>
    <row r="60" spans="1:6" x14ac:dyDescent="0.25">
      <c r="A60" s="2" t="s">
        <v>113</v>
      </c>
      <c r="B60" s="2" t="s">
        <v>12</v>
      </c>
      <c r="C60" s="2" t="s">
        <v>108</v>
      </c>
      <c r="D60" s="2" t="s">
        <v>109</v>
      </c>
      <c r="E60" s="3">
        <v>30</v>
      </c>
      <c r="F60" s="2" t="s">
        <v>30</v>
      </c>
    </row>
    <row r="61" spans="1:6" x14ac:dyDescent="0.25">
      <c r="A61" s="2" t="s">
        <v>114</v>
      </c>
      <c r="B61" s="2" t="s">
        <v>12</v>
      </c>
      <c r="C61" s="2" t="s">
        <v>108</v>
      </c>
      <c r="D61" s="2" t="s">
        <v>109</v>
      </c>
      <c r="E61" s="3">
        <v>970</v>
      </c>
      <c r="F61" s="2" t="s">
        <v>10</v>
      </c>
    </row>
    <row r="62" spans="1:6" x14ac:dyDescent="0.25">
      <c r="A62" s="2" t="s">
        <v>115</v>
      </c>
      <c r="B62" s="2" t="s">
        <v>7</v>
      </c>
      <c r="C62" s="2" t="s">
        <v>116</v>
      </c>
      <c r="D62" s="2" t="s">
        <v>117</v>
      </c>
      <c r="E62" s="3">
        <v>560</v>
      </c>
      <c r="F62" s="2" t="s">
        <v>13</v>
      </c>
    </row>
    <row r="63" spans="1:6" x14ac:dyDescent="0.25">
      <c r="A63" s="2" t="s">
        <v>118</v>
      </c>
      <c r="B63" s="2" t="s">
        <v>7</v>
      </c>
      <c r="C63" s="2" t="s">
        <v>116</v>
      </c>
      <c r="D63" s="2" t="s">
        <v>117</v>
      </c>
      <c r="E63" s="3">
        <v>840</v>
      </c>
      <c r="F63" s="2" t="s">
        <v>15</v>
      </c>
    </row>
    <row r="64" spans="1:6" x14ac:dyDescent="0.25">
      <c r="A64" s="2" t="s">
        <v>119</v>
      </c>
      <c r="B64" s="2" t="s">
        <v>7</v>
      </c>
      <c r="C64" s="2" t="s">
        <v>116</v>
      </c>
      <c r="D64" s="2" t="s">
        <v>117</v>
      </c>
      <c r="E64" s="3">
        <v>90</v>
      </c>
      <c r="F64" s="2" t="s">
        <v>18</v>
      </c>
    </row>
    <row r="65" spans="1:6" x14ac:dyDescent="0.25">
      <c r="A65" s="2" t="s">
        <v>120</v>
      </c>
      <c r="B65" s="2" t="s">
        <v>12</v>
      </c>
      <c r="C65" s="2" t="s">
        <v>116</v>
      </c>
      <c r="D65" s="2" t="s">
        <v>117</v>
      </c>
      <c r="E65" s="3">
        <v>290</v>
      </c>
      <c r="F65" s="2" t="s">
        <v>20</v>
      </c>
    </row>
    <row r="66" spans="1:6" x14ac:dyDescent="0.25">
      <c r="A66" s="2" t="s">
        <v>121</v>
      </c>
      <c r="B66" s="2" t="s">
        <v>12</v>
      </c>
      <c r="C66" s="2" t="s">
        <v>116</v>
      </c>
      <c r="D66" s="2" t="s">
        <v>117</v>
      </c>
      <c r="E66" s="3">
        <v>920</v>
      </c>
      <c r="F66" s="2" t="s">
        <v>22</v>
      </c>
    </row>
    <row r="67" spans="1:6" x14ac:dyDescent="0.25">
      <c r="A67" s="2" t="s">
        <v>122</v>
      </c>
      <c r="B67" s="2" t="s">
        <v>12</v>
      </c>
      <c r="C67" s="2" t="s">
        <v>116</v>
      </c>
      <c r="D67" s="2" t="s">
        <v>117</v>
      </c>
      <c r="E67" s="3">
        <v>270</v>
      </c>
      <c r="F67" s="2" t="s">
        <v>24</v>
      </c>
    </row>
    <row r="68" spans="1:6" x14ac:dyDescent="0.25">
      <c r="A68" s="2" t="s">
        <v>129</v>
      </c>
      <c r="B68" s="2" t="s">
        <v>12</v>
      </c>
      <c r="C68" s="2" t="s">
        <v>130</v>
      </c>
      <c r="D68" s="2" t="s">
        <v>131</v>
      </c>
      <c r="E68" s="3">
        <v>970</v>
      </c>
      <c r="F68" s="2" t="s">
        <v>13</v>
      </c>
    </row>
    <row r="69" spans="1:6" x14ac:dyDescent="0.25">
      <c r="A69" s="2" t="s">
        <v>132</v>
      </c>
      <c r="B69" s="2" t="s">
        <v>12</v>
      </c>
      <c r="C69" s="2" t="s">
        <v>130</v>
      </c>
      <c r="D69" s="2" t="s">
        <v>131</v>
      </c>
      <c r="E69" s="3">
        <v>690</v>
      </c>
      <c r="F69" s="2" t="s">
        <v>15</v>
      </c>
    </row>
    <row r="70" spans="1:6" x14ac:dyDescent="0.25">
      <c r="A70" s="2" t="s">
        <v>133</v>
      </c>
      <c r="B70" s="2" t="s">
        <v>12</v>
      </c>
      <c r="C70" s="2" t="s">
        <v>130</v>
      </c>
      <c r="D70" s="2" t="s">
        <v>131</v>
      </c>
      <c r="E70" s="3">
        <v>380</v>
      </c>
      <c r="F70" s="2" t="s">
        <v>18</v>
      </c>
    </row>
    <row r="71" spans="1:6" x14ac:dyDescent="0.25">
      <c r="A71" s="2" t="s">
        <v>16</v>
      </c>
      <c r="B71" s="2" t="s">
        <v>7</v>
      </c>
      <c r="C71" s="2" t="s">
        <v>17</v>
      </c>
      <c r="D71" s="2" t="s">
        <v>9</v>
      </c>
      <c r="E71" s="3">
        <v>180</v>
      </c>
      <c r="F71" s="2" t="s">
        <v>18</v>
      </c>
    </row>
    <row r="72" spans="1:6" x14ac:dyDescent="0.25">
      <c r="A72" s="2" t="s">
        <v>19</v>
      </c>
      <c r="B72" s="2" t="s">
        <v>7</v>
      </c>
      <c r="C72" s="2" t="s">
        <v>17</v>
      </c>
      <c r="D72" s="2" t="s">
        <v>9</v>
      </c>
      <c r="E72" s="3">
        <v>160</v>
      </c>
      <c r="F72" s="2" t="s">
        <v>20</v>
      </c>
    </row>
    <row r="73" spans="1:6" x14ac:dyDescent="0.25">
      <c r="A73" s="2" t="s">
        <v>21</v>
      </c>
      <c r="B73" s="2" t="s">
        <v>7</v>
      </c>
      <c r="C73" s="2" t="s">
        <v>17</v>
      </c>
      <c r="D73" s="2" t="s">
        <v>9</v>
      </c>
      <c r="E73" s="3">
        <v>540</v>
      </c>
      <c r="F73" s="2" t="s">
        <v>22</v>
      </c>
    </row>
    <row r="74" spans="1:6" x14ac:dyDescent="0.25">
      <c r="A74" s="2" t="s">
        <v>23</v>
      </c>
      <c r="B74" s="2" t="s">
        <v>7</v>
      </c>
      <c r="C74" s="2" t="s">
        <v>17</v>
      </c>
      <c r="D74" s="2" t="s">
        <v>9</v>
      </c>
      <c r="E74" s="3">
        <v>470</v>
      </c>
      <c r="F74" s="2" t="s">
        <v>24</v>
      </c>
    </row>
    <row r="75" spans="1:6" x14ac:dyDescent="0.25">
      <c r="A75" s="2" t="s">
        <v>25</v>
      </c>
      <c r="B75" s="2" t="s">
        <v>7</v>
      </c>
      <c r="C75" s="2" t="s">
        <v>17</v>
      </c>
      <c r="D75" s="2" t="s">
        <v>9</v>
      </c>
      <c r="E75" s="3">
        <v>210</v>
      </c>
      <c r="F75" s="2" t="s">
        <v>26</v>
      </c>
    </row>
    <row r="76" spans="1:6" x14ac:dyDescent="0.25">
      <c r="A76" s="2" t="s">
        <v>27</v>
      </c>
      <c r="B76" s="2" t="s">
        <v>7</v>
      </c>
      <c r="C76" s="2" t="s">
        <v>17</v>
      </c>
      <c r="D76" s="2" t="s">
        <v>9</v>
      </c>
      <c r="E76" s="3">
        <v>570</v>
      </c>
      <c r="F76" s="2" t="s">
        <v>28</v>
      </c>
    </row>
    <row r="77" spans="1:6" x14ac:dyDescent="0.25">
      <c r="A77" s="2" t="s">
        <v>29</v>
      </c>
      <c r="B77" s="2" t="s">
        <v>7</v>
      </c>
      <c r="C77" s="2" t="s">
        <v>17</v>
      </c>
      <c r="D77" s="2" t="s">
        <v>9</v>
      </c>
      <c r="E77" s="3">
        <v>440</v>
      </c>
      <c r="F77" s="2" t="s">
        <v>30</v>
      </c>
    </row>
    <row r="78" spans="1:6" x14ac:dyDescent="0.25">
      <c r="A78" s="2" t="s">
        <v>31</v>
      </c>
      <c r="B78" s="2" t="s">
        <v>7</v>
      </c>
      <c r="C78" s="2" t="s">
        <v>17</v>
      </c>
      <c r="D78" s="2" t="s">
        <v>9</v>
      </c>
      <c r="E78" s="3">
        <v>230</v>
      </c>
      <c r="F78" s="2" t="s">
        <v>10</v>
      </c>
    </row>
    <row r="79" spans="1:6" x14ac:dyDescent="0.25">
      <c r="A79" s="2" t="s">
        <v>32</v>
      </c>
      <c r="B79" s="2" t="s">
        <v>7</v>
      </c>
      <c r="C79" s="2" t="s">
        <v>17</v>
      </c>
      <c r="D79" s="2" t="s">
        <v>9</v>
      </c>
      <c r="E79" s="3">
        <v>90</v>
      </c>
      <c r="F79" s="2" t="s">
        <v>13</v>
      </c>
    </row>
    <row r="80" spans="1:6" x14ac:dyDescent="0.25">
      <c r="A80" s="2" t="s">
        <v>33</v>
      </c>
      <c r="B80" s="2" t="s">
        <v>7</v>
      </c>
      <c r="C80" s="2" t="s">
        <v>17</v>
      </c>
      <c r="D80" s="2" t="s">
        <v>9</v>
      </c>
      <c r="E80" s="3">
        <v>340</v>
      </c>
      <c r="F80" s="2" t="s">
        <v>15</v>
      </c>
    </row>
    <row r="81" spans="1:6" x14ac:dyDescent="0.25">
      <c r="A81" s="2" t="s">
        <v>34</v>
      </c>
      <c r="B81" s="2" t="s">
        <v>7</v>
      </c>
      <c r="C81" s="2" t="s">
        <v>17</v>
      </c>
      <c r="D81" s="2" t="s">
        <v>9</v>
      </c>
      <c r="E81" s="3">
        <v>820</v>
      </c>
      <c r="F81" s="2" t="s">
        <v>18</v>
      </c>
    </row>
    <row r="82" spans="1:6" x14ac:dyDescent="0.25">
      <c r="A82" s="2" t="s">
        <v>35</v>
      </c>
      <c r="B82" s="2" t="s">
        <v>7</v>
      </c>
      <c r="C82" s="2" t="s">
        <v>17</v>
      </c>
      <c r="D82" s="2" t="s">
        <v>9</v>
      </c>
      <c r="E82" s="3">
        <v>230</v>
      </c>
      <c r="F82" s="2" t="s">
        <v>20</v>
      </c>
    </row>
    <row r="83" spans="1:6" x14ac:dyDescent="0.25">
      <c r="A83" s="2" t="s">
        <v>36</v>
      </c>
      <c r="B83" s="2" t="s">
        <v>7</v>
      </c>
      <c r="C83" s="2" t="s">
        <v>17</v>
      </c>
      <c r="D83" s="2" t="s">
        <v>9</v>
      </c>
      <c r="E83" s="3">
        <v>650</v>
      </c>
      <c r="F83" s="2" t="s">
        <v>22</v>
      </c>
    </row>
    <row r="84" spans="1:6" x14ac:dyDescent="0.25">
      <c r="A84" s="2" t="s">
        <v>37</v>
      </c>
      <c r="B84" s="2" t="s">
        <v>7</v>
      </c>
      <c r="C84" s="2" t="s">
        <v>17</v>
      </c>
      <c r="D84" s="2" t="s">
        <v>9</v>
      </c>
      <c r="E84" s="3">
        <v>60</v>
      </c>
      <c r="F84" s="2" t="s">
        <v>24</v>
      </c>
    </row>
    <row r="85" spans="1:6" x14ac:dyDescent="0.25">
      <c r="A85" s="2" t="s">
        <v>38</v>
      </c>
      <c r="B85" s="2" t="s">
        <v>7</v>
      </c>
      <c r="C85" s="2" t="s">
        <v>17</v>
      </c>
      <c r="D85" s="2" t="s">
        <v>9</v>
      </c>
      <c r="E85" s="3">
        <v>130</v>
      </c>
      <c r="F85" s="2" t="s">
        <v>26</v>
      </c>
    </row>
    <row r="86" spans="1:6" x14ac:dyDescent="0.25">
      <c r="A86" s="2" t="s">
        <v>39</v>
      </c>
      <c r="B86" s="2" t="s">
        <v>7</v>
      </c>
      <c r="C86" s="2" t="s">
        <v>17</v>
      </c>
      <c r="D86" s="2" t="s">
        <v>9</v>
      </c>
      <c r="E86" s="3">
        <v>640</v>
      </c>
      <c r="F86" s="2" t="s">
        <v>28</v>
      </c>
    </row>
    <row r="87" spans="1:6" x14ac:dyDescent="0.25">
      <c r="A87" s="2" t="s">
        <v>40</v>
      </c>
      <c r="B87" s="2" t="s">
        <v>7</v>
      </c>
      <c r="C87" s="2" t="s">
        <v>17</v>
      </c>
      <c r="D87" s="2" t="s">
        <v>9</v>
      </c>
      <c r="E87" s="3">
        <v>230</v>
      </c>
      <c r="F87" s="2" t="s">
        <v>30</v>
      </c>
    </row>
    <row r="88" spans="1:6" x14ac:dyDescent="0.25">
      <c r="A88" s="2" t="s">
        <v>137</v>
      </c>
      <c r="B88" s="2" t="s">
        <v>7</v>
      </c>
      <c r="C88" s="2" t="s">
        <v>135</v>
      </c>
      <c r="D88" s="2" t="s">
        <v>136</v>
      </c>
      <c r="E88" s="3">
        <v>90</v>
      </c>
      <c r="F88" s="2" t="s">
        <v>22</v>
      </c>
    </row>
    <row r="89" spans="1:6" x14ac:dyDescent="0.25">
      <c r="A89" s="2" t="s">
        <v>134</v>
      </c>
      <c r="B89" s="2" t="s">
        <v>12</v>
      </c>
      <c r="C89" s="2" t="s">
        <v>135</v>
      </c>
      <c r="D89" s="2" t="s">
        <v>136</v>
      </c>
      <c r="E89" s="3">
        <v>610</v>
      </c>
      <c r="F89" s="2" t="s">
        <v>20</v>
      </c>
    </row>
    <row r="90" spans="1:6" x14ac:dyDescent="0.25">
      <c r="A90" s="2" t="s">
        <v>66</v>
      </c>
      <c r="B90" s="2" t="s">
        <v>7</v>
      </c>
      <c r="C90" s="2" t="s">
        <v>54</v>
      </c>
      <c r="D90" s="2" t="s">
        <v>48</v>
      </c>
      <c r="E90" s="3">
        <v>100</v>
      </c>
      <c r="F90" s="2" t="s">
        <v>10</v>
      </c>
    </row>
    <row r="91" spans="1:6" x14ac:dyDescent="0.25">
      <c r="A91" s="2" t="s">
        <v>67</v>
      </c>
      <c r="B91" s="2" t="s">
        <v>7</v>
      </c>
      <c r="C91" s="2" t="s">
        <v>54</v>
      </c>
      <c r="D91" s="2" t="s">
        <v>48</v>
      </c>
      <c r="E91" s="3">
        <v>400</v>
      </c>
      <c r="F91" s="2" t="s">
        <v>13</v>
      </c>
    </row>
    <row r="92" spans="1:6" x14ac:dyDescent="0.25">
      <c r="A92" s="2" t="s">
        <v>53</v>
      </c>
      <c r="B92" s="2" t="s">
        <v>7</v>
      </c>
      <c r="C92" s="2" t="s">
        <v>54</v>
      </c>
      <c r="D92" s="2" t="s">
        <v>48</v>
      </c>
      <c r="E92" s="3">
        <v>490</v>
      </c>
      <c r="F92" s="2" t="s">
        <v>28</v>
      </c>
    </row>
    <row r="93" spans="1:6" x14ac:dyDescent="0.25">
      <c r="A93" s="2" t="s">
        <v>55</v>
      </c>
      <c r="B93" s="2" t="s">
        <v>7</v>
      </c>
      <c r="C93" s="2" t="s">
        <v>54</v>
      </c>
      <c r="D93" s="2" t="s">
        <v>48</v>
      </c>
      <c r="E93" s="3">
        <v>610</v>
      </c>
      <c r="F93" s="2" t="s">
        <v>30</v>
      </c>
    </row>
    <row r="94" spans="1:6" x14ac:dyDescent="0.25">
      <c r="A94" s="2" t="s">
        <v>56</v>
      </c>
      <c r="B94" s="2" t="s">
        <v>12</v>
      </c>
      <c r="C94" s="2" t="s">
        <v>54</v>
      </c>
      <c r="D94" s="2" t="s">
        <v>48</v>
      </c>
      <c r="E94" s="3">
        <v>130</v>
      </c>
      <c r="F94" s="2" t="s">
        <v>10</v>
      </c>
    </row>
    <row r="95" spans="1:6" x14ac:dyDescent="0.25">
      <c r="A95" s="2" t="s">
        <v>57</v>
      </c>
      <c r="B95" s="2" t="s">
        <v>12</v>
      </c>
      <c r="C95" s="2" t="s">
        <v>54</v>
      </c>
      <c r="D95" s="2" t="s">
        <v>48</v>
      </c>
      <c r="E95" s="3">
        <v>390</v>
      </c>
      <c r="F95" s="2" t="s">
        <v>13</v>
      </c>
    </row>
    <row r="96" spans="1:6" x14ac:dyDescent="0.25">
      <c r="A96" s="2" t="s">
        <v>58</v>
      </c>
      <c r="B96" s="2" t="s">
        <v>7</v>
      </c>
      <c r="C96" s="2" t="s">
        <v>54</v>
      </c>
      <c r="D96" s="2" t="s">
        <v>48</v>
      </c>
      <c r="E96" s="3">
        <v>970</v>
      </c>
      <c r="F96" s="2" t="s">
        <v>15</v>
      </c>
    </row>
    <row r="97" spans="1:6" x14ac:dyDescent="0.25">
      <c r="A97" s="2" t="s">
        <v>59</v>
      </c>
      <c r="B97" s="2" t="s">
        <v>7</v>
      </c>
      <c r="C97" s="2" t="s">
        <v>54</v>
      </c>
      <c r="D97" s="2" t="s">
        <v>48</v>
      </c>
      <c r="E97" s="3">
        <v>930</v>
      </c>
      <c r="F97" s="2" t="s">
        <v>18</v>
      </c>
    </row>
    <row r="98" spans="1:6" x14ac:dyDescent="0.25">
      <c r="A98" s="2" t="s">
        <v>60</v>
      </c>
      <c r="B98" s="2" t="s">
        <v>7</v>
      </c>
      <c r="C98" s="2" t="s">
        <v>54</v>
      </c>
      <c r="D98" s="2" t="s">
        <v>48</v>
      </c>
      <c r="E98" s="3">
        <v>90</v>
      </c>
      <c r="F98" s="2" t="s">
        <v>20</v>
      </c>
    </row>
    <row r="99" spans="1:6" x14ac:dyDescent="0.25">
      <c r="A99" s="2" t="s">
        <v>61</v>
      </c>
      <c r="B99" s="2" t="s">
        <v>7</v>
      </c>
      <c r="C99" s="2" t="s">
        <v>54</v>
      </c>
      <c r="D99" s="2" t="s">
        <v>48</v>
      </c>
      <c r="E99" s="3">
        <v>960</v>
      </c>
      <c r="F99" s="2" t="s">
        <v>22</v>
      </c>
    </row>
    <row r="100" spans="1:6" x14ac:dyDescent="0.25">
      <c r="A100" s="2" t="s">
        <v>62</v>
      </c>
      <c r="B100" s="2" t="s">
        <v>7</v>
      </c>
      <c r="C100" s="2" t="s">
        <v>54</v>
      </c>
      <c r="D100" s="2" t="s">
        <v>48</v>
      </c>
      <c r="E100" s="3">
        <v>310</v>
      </c>
      <c r="F100" s="2" t="s">
        <v>24</v>
      </c>
    </row>
    <row r="101" spans="1:6" x14ac:dyDescent="0.25">
      <c r="A101" s="2" t="s">
        <v>63</v>
      </c>
      <c r="B101" s="2" t="s">
        <v>7</v>
      </c>
      <c r="C101" s="2" t="s">
        <v>54</v>
      </c>
      <c r="D101" s="2" t="s">
        <v>48</v>
      </c>
      <c r="E101" s="3">
        <v>380</v>
      </c>
      <c r="F101" s="2" t="s">
        <v>26</v>
      </c>
    </row>
    <row r="102" spans="1:6" x14ac:dyDescent="0.25">
      <c r="A102" s="2" t="s">
        <v>64</v>
      </c>
      <c r="B102" s="2" t="s">
        <v>7</v>
      </c>
      <c r="C102" s="2" t="s">
        <v>54</v>
      </c>
      <c r="D102" s="2" t="s">
        <v>48</v>
      </c>
      <c r="E102" s="3">
        <v>700</v>
      </c>
      <c r="F102" s="2" t="s">
        <v>28</v>
      </c>
    </row>
    <row r="103" spans="1:6" x14ac:dyDescent="0.25">
      <c r="A103" s="2" t="s">
        <v>65</v>
      </c>
      <c r="B103" s="2" t="s">
        <v>7</v>
      </c>
      <c r="C103" s="2" t="s">
        <v>54</v>
      </c>
      <c r="D103" s="2" t="s">
        <v>48</v>
      </c>
      <c r="E103" s="3">
        <v>410</v>
      </c>
      <c r="F103" s="2" t="s">
        <v>30</v>
      </c>
    </row>
  </sheetData>
  <sortState ref="A2:F103">
    <sortCondition ref="C2:C103"/>
    <sortCondition ref="A2:A10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8890-E977-411B-8995-6D80DBCF6AE6}">
  <dimension ref="A1:F5"/>
  <sheetViews>
    <sheetView showGridLines="0"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12.85546875" customWidth="1"/>
    <col min="5" max="5" width="5.42578125" customWidth="1"/>
  </cols>
  <sheetData>
    <row r="1" spans="1:6" x14ac:dyDescent="0.25">
      <c r="A1" s="4" t="s">
        <v>147</v>
      </c>
      <c r="B1" s="6" t="s">
        <v>148</v>
      </c>
    </row>
    <row r="2" spans="1:6" x14ac:dyDescent="0.25">
      <c r="A2" s="5" t="s">
        <v>7</v>
      </c>
      <c r="B2" s="9">
        <v>0.77450980392156865</v>
      </c>
    </row>
    <row r="3" spans="1:6" x14ac:dyDescent="0.25">
      <c r="A3" s="5" t="s">
        <v>12</v>
      </c>
      <c r="B3" s="9">
        <v>0.22549019607843138</v>
      </c>
    </row>
    <row r="4" spans="1:6" x14ac:dyDescent="0.25">
      <c r="A4" s="5" t="s">
        <v>146</v>
      </c>
      <c r="B4" s="9">
        <v>1</v>
      </c>
    </row>
    <row r="5" spans="1:6" ht="18.75" x14ac:dyDescent="0.3">
      <c r="A5" s="7" t="s">
        <v>149</v>
      </c>
      <c r="B5" s="8"/>
      <c r="C5" s="8"/>
      <c r="D5" s="8"/>
      <c r="E5" s="8"/>
      <c r="F5" s="8"/>
    </row>
  </sheetData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535A-6569-42CD-9A46-44C7075C3177}">
  <dimension ref="A1:F21"/>
  <sheetViews>
    <sheetView showGridLines="0" workbookViewId="0">
      <selection activeCell="A2" sqref="A2"/>
    </sheetView>
  </sheetViews>
  <sheetFormatPr defaultRowHeight="15" x14ac:dyDescent="0.25"/>
  <cols>
    <col min="1" max="1" width="9.42578125" customWidth="1"/>
    <col min="2" max="2" width="10.28515625" customWidth="1"/>
    <col min="6" max="6" width="10.28515625" customWidth="1"/>
  </cols>
  <sheetData>
    <row r="1" spans="1:6" ht="18.75" x14ac:dyDescent="0.3">
      <c r="A1" s="15" t="s">
        <v>176</v>
      </c>
      <c r="B1" s="16"/>
      <c r="C1" s="16"/>
      <c r="D1" s="16"/>
      <c r="E1" s="16"/>
      <c r="F1" s="16"/>
    </row>
    <row r="2" spans="1:6" x14ac:dyDescent="0.25">
      <c r="A2" s="12" t="s">
        <v>166</v>
      </c>
      <c r="B2" s="12" t="s">
        <v>177</v>
      </c>
    </row>
    <row r="3" spans="1:6" x14ac:dyDescent="0.25">
      <c r="A3" s="13" t="s">
        <v>167</v>
      </c>
      <c r="B3" s="14">
        <v>8.4996057978045964E-2</v>
      </c>
    </row>
    <row r="4" spans="1:6" x14ac:dyDescent="0.25">
      <c r="A4" s="13" t="s">
        <v>9</v>
      </c>
      <c r="B4" s="14">
        <v>9.0151009764085147E-2</v>
      </c>
    </row>
    <row r="5" spans="1:6" x14ac:dyDescent="0.25">
      <c r="A5" s="13" t="s">
        <v>48</v>
      </c>
      <c r="B5" s="14">
        <v>9.1333616350294133E-2</v>
      </c>
    </row>
    <row r="6" spans="1:6" x14ac:dyDescent="0.25">
      <c r="A6" s="13" t="s">
        <v>70</v>
      </c>
      <c r="B6" s="14">
        <v>3.7267269088483233E-2</v>
      </c>
    </row>
    <row r="7" spans="1:6" x14ac:dyDescent="0.25">
      <c r="A7" s="13" t="s">
        <v>168</v>
      </c>
      <c r="B7" s="14">
        <v>3.6569834435077928E-2</v>
      </c>
    </row>
    <row r="8" spans="1:6" x14ac:dyDescent="0.25">
      <c r="A8" s="13" t="s">
        <v>80</v>
      </c>
      <c r="B8" s="14">
        <v>7.4686154405967611E-2</v>
      </c>
    </row>
    <row r="9" spans="1:6" x14ac:dyDescent="0.25">
      <c r="A9" s="13" t="s">
        <v>169</v>
      </c>
      <c r="B9" s="14">
        <v>3.5265934865668022E-2</v>
      </c>
    </row>
    <row r="10" spans="1:6" x14ac:dyDescent="0.25">
      <c r="A10" s="13" t="s">
        <v>170</v>
      </c>
      <c r="B10" s="14">
        <v>3.5023348899266178E-2</v>
      </c>
    </row>
    <row r="11" spans="1:6" x14ac:dyDescent="0.25">
      <c r="A11" s="13" t="s">
        <v>171</v>
      </c>
      <c r="B11" s="14">
        <v>3.9632482260901207E-2</v>
      </c>
    </row>
    <row r="12" spans="1:6" x14ac:dyDescent="0.25">
      <c r="A12" s="13" t="s">
        <v>109</v>
      </c>
      <c r="B12" s="14">
        <v>7.3594517557159317E-2</v>
      </c>
    </row>
    <row r="13" spans="1:6" x14ac:dyDescent="0.25">
      <c r="A13" s="13" t="s">
        <v>117</v>
      </c>
      <c r="B13" s="14">
        <v>6.6771787252107459E-2</v>
      </c>
    </row>
    <row r="14" spans="1:6" x14ac:dyDescent="0.25">
      <c r="A14" s="13" t="s">
        <v>172</v>
      </c>
      <c r="B14" s="14">
        <v>7.2442234216750556E-2</v>
      </c>
    </row>
    <row r="15" spans="1:6" x14ac:dyDescent="0.25">
      <c r="A15" s="13" t="s">
        <v>173</v>
      </c>
      <c r="B15" s="14">
        <v>8.3540542179634913E-2</v>
      </c>
    </row>
    <row r="16" spans="1:6" x14ac:dyDescent="0.25">
      <c r="A16" s="13" t="s">
        <v>136</v>
      </c>
      <c r="B16" s="14">
        <v>6.2314270119473589E-2</v>
      </c>
    </row>
    <row r="17" spans="1:2" x14ac:dyDescent="0.25">
      <c r="A17" s="13" t="s">
        <v>140</v>
      </c>
      <c r="B17" s="14">
        <v>3.2567165989447512E-2</v>
      </c>
    </row>
    <row r="18" spans="1:2" x14ac:dyDescent="0.25">
      <c r="A18" s="13" t="s">
        <v>174</v>
      </c>
      <c r="B18" s="14">
        <v>2.2742434350172844E-3</v>
      </c>
    </row>
    <row r="19" spans="1:2" x14ac:dyDescent="0.25">
      <c r="A19" s="13" t="s">
        <v>103</v>
      </c>
      <c r="B19" s="14">
        <v>5.1792103826793619E-2</v>
      </c>
    </row>
    <row r="20" spans="1:2" x14ac:dyDescent="0.25">
      <c r="A20" s="13" t="s">
        <v>175</v>
      </c>
      <c r="B20" s="14">
        <v>2.977742737582631E-2</v>
      </c>
    </row>
    <row r="21" spans="1:2" x14ac:dyDescent="0.25">
      <c r="B21" s="17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276-A335-420A-AAA0-90A666949C13}">
  <dimension ref="A1:F14"/>
  <sheetViews>
    <sheetView showGridLines="0" workbookViewId="0">
      <selection activeCell="A14" sqref="A14"/>
    </sheetView>
  </sheetViews>
  <sheetFormatPr defaultRowHeight="15" x14ac:dyDescent="0.25"/>
  <cols>
    <col min="1" max="1" width="10" customWidth="1"/>
    <col min="2" max="2" width="18.5703125" customWidth="1"/>
    <col min="3" max="3" width="8.5703125" customWidth="1"/>
  </cols>
  <sheetData>
    <row r="1" spans="1:6" ht="18.75" x14ac:dyDescent="0.3">
      <c r="A1" s="15" t="s">
        <v>176</v>
      </c>
      <c r="B1" s="16"/>
      <c r="C1" s="16"/>
      <c r="D1" s="16"/>
      <c r="E1" s="16"/>
      <c r="F1" s="16"/>
    </row>
    <row r="2" spans="1:6" x14ac:dyDescent="0.25">
      <c r="A2" s="10" t="s">
        <v>150</v>
      </c>
      <c r="B2" s="10" t="s">
        <v>151</v>
      </c>
      <c r="C2" s="10" t="s">
        <v>152</v>
      </c>
    </row>
    <row r="3" spans="1:6" x14ac:dyDescent="0.25">
      <c r="A3" s="2" t="s">
        <v>153</v>
      </c>
      <c r="B3" s="2" t="s">
        <v>154</v>
      </c>
      <c r="C3" s="20">
        <v>109</v>
      </c>
    </row>
    <row r="4" spans="1:6" x14ac:dyDescent="0.25">
      <c r="A4" s="2" t="s">
        <v>153</v>
      </c>
      <c r="B4" s="2" t="s">
        <v>155</v>
      </c>
      <c r="C4" s="20">
        <v>90</v>
      </c>
    </row>
    <row r="5" spans="1:6" x14ac:dyDescent="0.25">
      <c r="A5" s="2" t="s">
        <v>153</v>
      </c>
      <c r="B5" s="2" t="s">
        <v>156</v>
      </c>
      <c r="C5" s="20">
        <v>396</v>
      </c>
    </row>
    <row r="6" spans="1:6" x14ac:dyDescent="0.25">
      <c r="A6" s="2" t="s">
        <v>153</v>
      </c>
      <c r="B6" s="2" t="s">
        <v>157</v>
      </c>
      <c r="C6" s="20">
        <v>380</v>
      </c>
    </row>
    <row r="7" spans="1:6" x14ac:dyDescent="0.25">
      <c r="A7" s="2" t="s">
        <v>153</v>
      </c>
      <c r="B7" s="2" t="s">
        <v>158</v>
      </c>
      <c r="C7" s="20">
        <v>275</v>
      </c>
    </row>
    <row r="8" spans="1:6" x14ac:dyDescent="0.25">
      <c r="A8" s="2" t="s">
        <v>153</v>
      </c>
      <c r="B8" s="2" t="s">
        <v>159</v>
      </c>
      <c r="C8" s="20">
        <v>174</v>
      </c>
    </row>
    <row r="9" spans="1:6" x14ac:dyDescent="0.25">
      <c r="A9" s="2" t="s">
        <v>153</v>
      </c>
      <c r="B9" s="2" t="s">
        <v>160</v>
      </c>
      <c r="C9" s="20">
        <v>166</v>
      </c>
    </row>
    <row r="10" spans="1:6" x14ac:dyDescent="0.25">
      <c r="A10" s="2" t="s">
        <v>153</v>
      </c>
      <c r="B10" s="2" t="s">
        <v>161</v>
      </c>
      <c r="C10" s="20">
        <v>259</v>
      </c>
    </row>
    <row r="11" spans="1:6" x14ac:dyDescent="0.25">
      <c r="A11" s="2" t="s">
        <v>153</v>
      </c>
      <c r="B11" s="2" t="s">
        <v>162</v>
      </c>
      <c r="C11" s="20">
        <v>88</v>
      </c>
    </row>
    <row r="12" spans="1:6" x14ac:dyDescent="0.25">
      <c r="A12" s="2" t="s">
        <v>153</v>
      </c>
      <c r="B12" s="2" t="s">
        <v>163</v>
      </c>
      <c r="C12" s="20">
        <v>51</v>
      </c>
    </row>
    <row r="13" spans="1:6" x14ac:dyDescent="0.25">
      <c r="A13" s="2" t="s">
        <v>153</v>
      </c>
      <c r="B13" s="2" t="s">
        <v>164</v>
      </c>
      <c r="C13" s="20">
        <v>150</v>
      </c>
    </row>
    <row r="14" spans="1:6" x14ac:dyDescent="0.25">
      <c r="A14" s="11"/>
      <c r="B14" s="11" t="s">
        <v>165</v>
      </c>
      <c r="C14" s="21">
        <f>SUM(C3:C13)</f>
        <v>2138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64F1-9372-4A42-A131-B668E1629828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2868-F3EC-42EF-B20A-BAC3B79FB3ED}">
  <dimension ref="A1:B11"/>
  <sheetViews>
    <sheetView workbookViewId="0">
      <selection activeCell="D2" sqref="D2"/>
    </sheetView>
  </sheetViews>
  <sheetFormatPr defaultRowHeight="15" x14ac:dyDescent="0.25"/>
  <cols>
    <col min="1" max="1" width="16.85546875" bestFit="1" customWidth="1"/>
    <col min="2" max="2" width="12.42578125" bestFit="1" customWidth="1"/>
  </cols>
  <sheetData>
    <row r="1" spans="1:2" x14ac:dyDescent="0.25">
      <c r="A1" s="18" t="s">
        <v>5</v>
      </c>
      <c r="B1" s="6" t="s">
        <v>178</v>
      </c>
    </row>
    <row r="2" spans="1:2" x14ac:dyDescent="0.25">
      <c r="A2" s="5" t="s">
        <v>24</v>
      </c>
      <c r="B2" s="19">
        <v>5980</v>
      </c>
    </row>
    <row r="3" spans="1:2" x14ac:dyDescent="0.25">
      <c r="A3" s="5" t="s">
        <v>15</v>
      </c>
      <c r="B3" s="19">
        <v>5870</v>
      </c>
    </row>
    <row r="4" spans="1:2" x14ac:dyDescent="0.25">
      <c r="A4" s="5" t="s">
        <v>28</v>
      </c>
      <c r="B4" s="19">
        <v>5630</v>
      </c>
    </row>
    <row r="5" spans="1:2" x14ac:dyDescent="0.25">
      <c r="A5" s="5" t="s">
        <v>22</v>
      </c>
      <c r="B5" s="19">
        <v>5570</v>
      </c>
    </row>
    <row r="6" spans="1:2" x14ac:dyDescent="0.25">
      <c r="A6" s="5" t="s">
        <v>13</v>
      </c>
      <c r="B6" s="19">
        <v>5450</v>
      </c>
    </row>
    <row r="7" spans="1:2" x14ac:dyDescent="0.25">
      <c r="A7" s="5" t="s">
        <v>18</v>
      </c>
      <c r="B7" s="19">
        <v>5390</v>
      </c>
    </row>
    <row r="8" spans="1:2" x14ac:dyDescent="0.25">
      <c r="A8" s="5" t="s">
        <v>10</v>
      </c>
      <c r="B8" s="19">
        <v>4540</v>
      </c>
    </row>
    <row r="9" spans="1:2" x14ac:dyDescent="0.25">
      <c r="A9" s="5" t="s">
        <v>20</v>
      </c>
      <c r="B9" s="19">
        <v>3940</v>
      </c>
    </row>
    <row r="10" spans="1:2" x14ac:dyDescent="0.25">
      <c r="A10" s="5" t="s">
        <v>30</v>
      </c>
      <c r="B10" s="19">
        <v>3670</v>
      </c>
    </row>
    <row r="11" spans="1:2" x14ac:dyDescent="0.25">
      <c r="A11" s="5" t="s">
        <v>26</v>
      </c>
      <c r="B11" s="19">
        <v>3280</v>
      </c>
    </row>
  </sheetData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Donor Data</vt:lpstr>
      <vt:lpstr>Doughnut Chart</vt:lpstr>
      <vt:lpstr>Map Chart</vt:lpstr>
      <vt:lpstr>UK Map Chart Example</vt:lpstr>
      <vt:lpstr>Icons</vt:lpstr>
      <vt:lpstr>Add-Ins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2019-11-10T19:08:17Z</dcterms:created>
  <dcterms:modified xsi:type="dcterms:W3CDTF">2019-11-14T17:46:47Z</dcterms:modified>
</cp:coreProperties>
</file>